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gon\Downloads\"/>
    </mc:Choice>
  </mc:AlternateContent>
  <xr:revisionPtr revIDLastSave="0" documentId="13_ncr:1_{D10FF2E6-7760-4424-80B8-5BDF7189E178}" xr6:coauthVersionLast="47" xr6:coauthVersionMax="47" xr10:uidLastSave="{00000000-0000-0000-0000-000000000000}"/>
  <bookViews>
    <workbookView xWindow="-120" yWindow="-120" windowWidth="29040" windowHeight="15840" xr2:uid="{19EBC816-7498-483F-96A4-E18EA6BD6A30}"/>
  </bookViews>
  <sheets>
    <sheet name="Monthly Depletions" sheetId="5" r:id="rId1"/>
    <sheet name="Stock" sheetId="4" r:id="rId2"/>
  </sheets>
  <definedNames>
    <definedName name="_xlnm._FilterDatabase" localSheetId="1" hidden="1">Stock!#REF!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5" l="1"/>
  <c r="U62" i="5"/>
  <c r="V62" i="5"/>
  <c r="W62" i="5"/>
  <c r="X62" i="5"/>
  <c r="Y62" i="5"/>
  <c r="Z62" i="5"/>
  <c r="AA62" i="5"/>
  <c r="AB62" i="5"/>
  <c r="AC62" i="5"/>
  <c r="AD62" i="5"/>
  <c r="S62" i="5"/>
  <c r="AD57" i="5"/>
  <c r="AD58" i="5"/>
  <c r="AC58" i="5"/>
  <c r="AB58" i="5"/>
  <c r="AB57" i="5"/>
  <c r="AB42" i="5"/>
  <c r="Z43" i="5"/>
  <c r="AB43" i="5"/>
  <c r="T47" i="5"/>
  <c r="U47" i="5"/>
  <c r="V47" i="5"/>
  <c r="W47" i="5"/>
  <c r="X47" i="5"/>
  <c r="Y47" i="5"/>
  <c r="Z47" i="5"/>
  <c r="AA47" i="5"/>
  <c r="AB47" i="5"/>
  <c r="AC47" i="5"/>
  <c r="AD47" i="5"/>
  <c r="S47" i="5"/>
  <c r="T32" i="5"/>
  <c r="U32" i="5"/>
  <c r="V32" i="5"/>
  <c r="W32" i="5"/>
  <c r="X32" i="5"/>
  <c r="Y32" i="5"/>
  <c r="Z32" i="5"/>
  <c r="AA32" i="5"/>
  <c r="AB32" i="5"/>
  <c r="AC32" i="5"/>
  <c r="AD32" i="5"/>
  <c r="S32" i="5"/>
  <c r="T17" i="5"/>
  <c r="U17" i="5"/>
  <c r="V17" i="5"/>
  <c r="W17" i="5"/>
  <c r="X17" i="5"/>
  <c r="Y17" i="5"/>
  <c r="Z17" i="5"/>
  <c r="AA17" i="5"/>
  <c r="AB17" i="5"/>
  <c r="AC17" i="5"/>
  <c r="AD17" i="5"/>
  <c r="S17" i="5"/>
  <c r="C60" i="5" l="1"/>
  <c r="B60" i="5"/>
  <c r="B59" i="5"/>
  <c r="C59" i="5"/>
  <c r="M59" i="5"/>
  <c r="L59" i="5"/>
  <c r="L60" i="5" s="1"/>
  <c r="K59" i="5"/>
  <c r="K60" i="5" s="1"/>
  <c r="J59" i="5"/>
  <c r="I59" i="5"/>
  <c r="H59" i="5"/>
  <c r="H60" i="5" s="1"/>
  <c r="G59" i="5"/>
  <c r="G60" i="5" s="1"/>
  <c r="F59" i="5"/>
  <c r="E59" i="5"/>
  <c r="D59" i="5"/>
  <c r="D60" i="5" s="1"/>
  <c r="N58" i="5"/>
  <c r="N57" i="5"/>
  <c r="O57" i="5" s="1"/>
  <c r="N56" i="5"/>
  <c r="O56" i="5" s="1"/>
  <c r="N55" i="5"/>
  <c r="N54" i="5"/>
  <c r="N53" i="5"/>
  <c r="O53" i="5" s="1"/>
  <c r="O52" i="5"/>
  <c r="N52" i="5"/>
  <c r="N51" i="5"/>
  <c r="N50" i="5"/>
  <c r="O50" i="5" s="1"/>
  <c r="N49" i="5"/>
  <c r="N48" i="5"/>
  <c r="AA58" i="5"/>
  <c r="Z58" i="5"/>
  <c r="Y58" i="5"/>
  <c r="X58" i="5"/>
  <c r="W58" i="5"/>
  <c r="V58" i="5"/>
  <c r="U58" i="5"/>
  <c r="T58" i="5"/>
  <c r="S58" i="5"/>
  <c r="AC57" i="5"/>
  <c r="AA57" i="5"/>
  <c r="Z57" i="5"/>
  <c r="Y57" i="5"/>
  <c r="X57" i="5"/>
  <c r="W57" i="5"/>
  <c r="V57" i="5"/>
  <c r="U57" i="5"/>
  <c r="T57" i="5"/>
  <c r="S57" i="5"/>
  <c r="AD56" i="5"/>
  <c r="AC56" i="5"/>
  <c r="AA56" i="5"/>
  <c r="Z56" i="5"/>
  <c r="Y56" i="5"/>
  <c r="X56" i="5"/>
  <c r="W56" i="5"/>
  <c r="V56" i="5"/>
  <c r="U56" i="5"/>
  <c r="T56" i="5"/>
  <c r="S56" i="5"/>
  <c r="AD55" i="5"/>
  <c r="AC55" i="5"/>
  <c r="AB55" i="5"/>
  <c r="AA55" i="5"/>
  <c r="Z55" i="5"/>
  <c r="Y55" i="5"/>
  <c r="X55" i="5"/>
  <c r="W55" i="5"/>
  <c r="V55" i="5"/>
  <c r="U55" i="5"/>
  <c r="T55" i="5"/>
  <c r="S55" i="5"/>
  <c r="AD54" i="5"/>
  <c r="AC54" i="5"/>
  <c r="AB54" i="5"/>
  <c r="AA54" i="5"/>
  <c r="Z54" i="5"/>
  <c r="Y54" i="5"/>
  <c r="X54" i="5"/>
  <c r="W54" i="5"/>
  <c r="V54" i="5"/>
  <c r="U54" i="5"/>
  <c r="T54" i="5"/>
  <c r="S54" i="5"/>
  <c r="AD53" i="5"/>
  <c r="AC53" i="5"/>
  <c r="AB53" i="5"/>
  <c r="AA53" i="5"/>
  <c r="Z53" i="5"/>
  <c r="Y53" i="5"/>
  <c r="X53" i="5"/>
  <c r="W53" i="5"/>
  <c r="V53" i="5"/>
  <c r="U53" i="5"/>
  <c r="T53" i="5"/>
  <c r="S53" i="5"/>
  <c r="AD52" i="5"/>
  <c r="AC52" i="5"/>
  <c r="AB52" i="5"/>
  <c r="AA52" i="5"/>
  <c r="Z52" i="5"/>
  <c r="Y52" i="5"/>
  <c r="X52" i="5"/>
  <c r="W52" i="5"/>
  <c r="V52" i="5"/>
  <c r="U52" i="5"/>
  <c r="T52" i="5"/>
  <c r="S52" i="5"/>
  <c r="AD51" i="5"/>
  <c r="AC51" i="5"/>
  <c r="AB51" i="5"/>
  <c r="AA51" i="5"/>
  <c r="Z51" i="5"/>
  <c r="Y51" i="5"/>
  <c r="X51" i="5"/>
  <c r="W51" i="5"/>
  <c r="V51" i="5"/>
  <c r="U51" i="5"/>
  <c r="T51" i="5"/>
  <c r="S51" i="5"/>
  <c r="AD50" i="5"/>
  <c r="AC50" i="5"/>
  <c r="AB50" i="5"/>
  <c r="AA50" i="5"/>
  <c r="Z50" i="5"/>
  <c r="Y50" i="5"/>
  <c r="X50" i="5"/>
  <c r="W50" i="5"/>
  <c r="V50" i="5"/>
  <c r="U50" i="5"/>
  <c r="T50" i="5"/>
  <c r="S50" i="5"/>
  <c r="AD49" i="5"/>
  <c r="AC49" i="5"/>
  <c r="AB49" i="5"/>
  <c r="AA49" i="5"/>
  <c r="Z49" i="5"/>
  <c r="Y49" i="5"/>
  <c r="X49" i="5"/>
  <c r="W49" i="5"/>
  <c r="V49" i="5"/>
  <c r="U49" i="5"/>
  <c r="T49" i="5"/>
  <c r="S49" i="5"/>
  <c r="AD48" i="5"/>
  <c r="AC48" i="5"/>
  <c r="AB48" i="5"/>
  <c r="AB59" i="5" s="1"/>
  <c r="AA48" i="5"/>
  <c r="Z48" i="5"/>
  <c r="Y48" i="5"/>
  <c r="X48" i="5"/>
  <c r="W48" i="5"/>
  <c r="V48" i="5"/>
  <c r="U48" i="5"/>
  <c r="T48" i="5"/>
  <c r="S48" i="5"/>
  <c r="AE43" i="5"/>
  <c r="AD42" i="5"/>
  <c r="AD43" i="5"/>
  <c r="AC42" i="5"/>
  <c r="AC43" i="5"/>
  <c r="AA42" i="5"/>
  <c r="AA43" i="5"/>
  <c r="Z42" i="5"/>
  <c r="Y42" i="5"/>
  <c r="Y43" i="5"/>
  <c r="X42" i="5"/>
  <c r="X43" i="5"/>
  <c r="W42" i="5"/>
  <c r="W43" i="5"/>
  <c r="V42" i="5"/>
  <c r="V43" i="5"/>
  <c r="U42" i="5"/>
  <c r="U43" i="5"/>
  <c r="T42" i="5"/>
  <c r="AE42" i="5" s="1"/>
  <c r="T43" i="5"/>
  <c r="S42" i="5"/>
  <c r="S43" i="5"/>
  <c r="B44" i="5"/>
  <c r="C44" i="5"/>
  <c r="D44" i="5"/>
  <c r="E44" i="5"/>
  <c r="F44" i="5"/>
  <c r="G44" i="5"/>
  <c r="H44" i="5"/>
  <c r="I44" i="5"/>
  <c r="J44" i="5"/>
  <c r="K44" i="5"/>
  <c r="L44" i="5"/>
  <c r="M44" i="5"/>
  <c r="O42" i="5"/>
  <c r="N42" i="5"/>
  <c r="N43" i="5"/>
  <c r="N27" i="5"/>
  <c r="N28" i="5"/>
  <c r="O28" i="5" s="1"/>
  <c r="AD27" i="5"/>
  <c r="AD28" i="5"/>
  <c r="AC27" i="5"/>
  <c r="AC28" i="5"/>
  <c r="AA27" i="5"/>
  <c r="AA28" i="5"/>
  <c r="Z27" i="5"/>
  <c r="Z28" i="5"/>
  <c r="Y27" i="5"/>
  <c r="Y28" i="5"/>
  <c r="X27" i="5"/>
  <c r="X28" i="5"/>
  <c r="W27" i="5"/>
  <c r="W28" i="5"/>
  <c r="V28" i="5"/>
  <c r="V27" i="5"/>
  <c r="U27" i="5"/>
  <c r="U28" i="5"/>
  <c r="T27" i="5"/>
  <c r="T28" i="5"/>
  <c r="S27" i="5"/>
  <c r="S28" i="5"/>
  <c r="B15" i="5"/>
  <c r="C15" i="5"/>
  <c r="D15" i="5"/>
  <c r="E15" i="5"/>
  <c r="F15" i="5"/>
  <c r="G15" i="5"/>
  <c r="H15" i="5"/>
  <c r="I15" i="5"/>
  <c r="J15" i="5"/>
  <c r="K15" i="5"/>
  <c r="L15" i="5"/>
  <c r="M15" i="5"/>
  <c r="N13" i="5"/>
  <c r="N14" i="5"/>
  <c r="N87" i="5"/>
  <c r="N88" i="5"/>
  <c r="N89" i="5"/>
  <c r="N71" i="5"/>
  <c r="N72" i="5"/>
  <c r="N73" i="5"/>
  <c r="M90" i="5"/>
  <c r="L90" i="5"/>
  <c r="K90" i="5"/>
  <c r="J90" i="5"/>
  <c r="I90" i="5"/>
  <c r="H90" i="5"/>
  <c r="G90" i="5"/>
  <c r="F90" i="5"/>
  <c r="E90" i="5"/>
  <c r="D90" i="5"/>
  <c r="C90" i="5"/>
  <c r="B90" i="5"/>
  <c r="AD86" i="5"/>
  <c r="AC86" i="5"/>
  <c r="AB86" i="5"/>
  <c r="AA86" i="5"/>
  <c r="Z86" i="5"/>
  <c r="Y86" i="5"/>
  <c r="X86" i="5"/>
  <c r="W86" i="5"/>
  <c r="V86" i="5"/>
  <c r="U86" i="5"/>
  <c r="T86" i="5"/>
  <c r="S86" i="5"/>
  <c r="N86" i="5"/>
  <c r="AD85" i="5"/>
  <c r="AC85" i="5"/>
  <c r="AB85" i="5"/>
  <c r="AA85" i="5"/>
  <c r="Z85" i="5"/>
  <c r="Y85" i="5"/>
  <c r="X85" i="5"/>
  <c r="W85" i="5"/>
  <c r="V85" i="5"/>
  <c r="U85" i="5"/>
  <c r="T85" i="5"/>
  <c r="S85" i="5"/>
  <c r="N85" i="5"/>
  <c r="AD84" i="5"/>
  <c r="AC84" i="5"/>
  <c r="AB84" i="5"/>
  <c r="AA84" i="5"/>
  <c r="Z84" i="5"/>
  <c r="Y84" i="5"/>
  <c r="X84" i="5"/>
  <c r="W84" i="5"/>
  <c r="V84" i="5"/>
  <c r="U84" i="5"/>
  <c r="T84" i="5"/>
  <c r="S84" i="5"/>
  <c r="N84" i="5"/>
  <c r="AD83" i="5"/>
  <c r="AC83" i="5"/>
  <c r="AB83" i="5"/>
  <c r="AA83" i="5"/>
  <c r="Z83" i="5"/>
  <c r="Y83" i="5"/>
  <c r="X83" i="5"/>
  <c r="W83" i="5"/>
  <c r="V83" i="5"/>
  <c r="U83" i="5"/>
  <c r="T83" i="5"/>
  <c r="S83" i="5"/>
  <c r="N83" i="5"/>
  <c r="AD82" i="5"/>
  <c r="AC82" i="5"/>
  <c r="AB82" i="5"/>
  <c r="AA82" i="5"/>
  <c r="Z82" i="5"/>
  <c r="Y82" i="5"/>
  <c r="X82" i="5"/>
  <c r="W82" i="5"/>
  <c r="V82" i="5"/>
  <c r="U82" i="5"/>
  <c r="T82" i="5"/>
  <c r="S82" i="5"/>
  <c r="N82" i="5"/>
  <c r="AD81" i="5"/>
  <c r="AC81" i="5"/>
  <c r="AB81" i="5"/>
  <c r="AA81" i="5"/>
  <c r="Z81" i="5"/>
  <c r="Y81" i="5"/>
  <c r="X81" i="5"/>
  <c r="W81" i="5"/>
  <c r="V81" i="5"/>
  <c r="U81" i="5"/>
  <c r="T81" i="5"/>
  <c r="S81" i="5"/>
  <c r="N81" i="5"/>
  <c r="AD80" i="5"/>
  <c r="AC80" i="5"/>
  <c r="AB80" i="5"/>
  <c r="AA80" i="5"/>
  <c r="Z80" i="5"/>
  <c r="Y80" i="5"/>
  <c r="X80" i="5"/>
  <c r="W80" i="5"/>
  <c r="V80" i="5"/>
  <c r="U80" i="5"/>
  <c r="T80" i="5"/>
  <c r="S80" i="5"/>
  <c r="N80" i="5"/>
  <c r="AD79" i="5"/>
  <c r="AC79" i="5"/>
  <c r="AB79" i="5"/>
  <c r="AA79" i="5"/>
  <c r="Z79" i="5"/>
  <c r="Y79" i="5"/>
  <c r="X79" i="5"/>
  <c r="W79" i="5"/>
  <c r="V79" i="5"/>
  <c r="U79" i="5"/>
  <c r="T79" i="5"/>
  <c r="S79" i="5"/>
  <c r="N79" i="5"/>
  <c r="O79" i="5" s="1"/>
  <c r="AD78" i="5"/>
  <c r="AC78" i="5"/>
  <c r="AB78" i="5"/>
  <c r="AA78" i="5"/>
  <c r="Z78" i="5"/>
  <c r="Y78" i="5"/>
  <c r="X78" i="5"/>
  <c r="W78" i="5"/>
  <c r="V78" i="5"/>
  <c r="U78" i="5"/>
  <c r="T78" i="5"/>
  <c r="S78" i="5"/>
  <c r="M74" i="5"/>
  <c r="L74" i="5"/>
  <c r="K74" i="5"/>
  <c r="J74" i="5"/>
  <c r="I74" i="5"/>
  <c r="H74" i="5"/>
  <c r="G74" i="5"/>
  <c r="F74" i="5"/>
  <c r="E74" i="5"/>
  <c r="D74" i="5"/>
  <c r="C74" i="5"/>
  <c r="B74" i="5"/>
  <c r="AC70" i="5"/>
  <c r="AB70" i="5"/>
  <c r="AA70" i="5"/>
  <c r="Z70" i="5"/>
  <c r="Y70" i="5"/>
  <c r="X70" i="5"/>
  <c r="W70" i="5"/>
  <c r="V70" i="5"/>
  <c r="U70" i="5"/>
  <c r="T70" i="5"/>
  <c r="S70" i="5"/>
  <c r="N70" i="5"/>
  <c r="AD69" i="5"/>
  <c r="AC69" i="5"/>
  <c r="AB69" i="5"/>
  <c r="AA69" i="5"/>
  <c r="Z69" i="5"/>
  <c r="Y69" i="5"/>
  <c r="X69" i="5"/>
  <c r="W69" i="5"/>
  <c r="V69" i="5"/>
  <c r="U69" i="5"/>
  <c r="T69" i="5"/>
  <c r="S69" i="5"/>
  <c r="N69" i="5"/>
  <c r="O69" i="5" s="1"/>
  <c r="AD68" i="5"/>
  <c r="AC68" i="5"/>
  <c r="AB68" i="5"/>
  <c r="AA68" i="5"/>
  <c r="Z68" i="5"/>
  <c r="Y68" i="5"/>
  <c r="X68" i="5"/>
  <c r="W68" i="5"/>
  <c r="V68" i="5"/>
  <c r="U68" i="5"/>
  <c r="T68" i="5"/>
  <c r="S68" i="5"/>
  <c r="N68" i="5"/>
  <c r="AD67" i="5"/>
  <c r="AC67" i="5"/>
  <c r="AB67" i="5"/>
  <c r="AA67" i="5"/>
  <c r="Z67" i="5"/>
  <c r="Y67" i="5"/>
  <c r="X67" i="5"/>
  <c r="W67" i="5"/>
  <c r="V67" i="5"/>
  <c r="U67" i="5"/>
  <c r="T67" i="5"/>
  <c r="S67" i="5"/>
  <c r="N67" i="5"/>
  <c r="AD66" i="5"/>
  <c r="AC66" i="5"/>
  <c r="AB66" i="5"/>
  <c r="AA66" i="5"/>
  <c r="Z66" i="5"/>
  <c r="Y66" i="5"/>
  <c r="X66" i="5"/>
  <c r="W66" i="5"/>
  <c r="V66" i="5"/>
  <c r="U66" i="5"/>
  <c r="T66" i="5"/>
  <c r="S66" i="5"/>
  <c r="N66" i="5"/>
  <c r="AD65" i="5"/>
  <c r="AC65" i="5"/>
  <c r="AB65" i="5"/>
  <c r="AA65" i="5"/>
  <c r="Z65" i="5"/>
  <c r="Y65" i="5"/>
  <c r="X65" i="5"/>
  <c r="W65" i="5"/>
  <c r="V65" i="5"/>
  <c r="U65" i="5"/>
  <c r="T65" i="5"/>
  <c r="S65" i="5"/>
  <c r="N65" i="5"/>
  <c r="AD64" i="5"/>
  <c r="AC64" i="5"/>
  <c r="AB64" i="5"/>
  <c r="AA64" i="5"/>
  <c r="Z64" i="5"/>
  <c r="Y64" i="5"/>
  <c r="X64" i="5"/>
  <c r="W64" i="5"/>
  <c r="V64" i="5"/>
  <c r="U64" i="5"/>
  <c r="T64" i="5"/>
  <c r="S64" i="5"/>
  <c r="N64" i="5"/>
  <c r="AD63" i="5"/>
  <c r="AC63" i="5"/>
  <c r="AB63" i="5"/>
  <c r="AA63" i="5"/>
  <c r="Z63" i="5"/>
  <c r="Y63" i="5"/>
  <c r="X63" i="5"/>
  <c r="W63" i="5"/>
  <c r="V63" i="5"/>
  <c r="U63" i="5"/>
  <c r="T63" i="5"/>
  <c r="S63" i="5"/>
  <c r="N63" i="5"/>
  <c r="AD41" i="5"/>
  <c r="AC41" i="5"/>
  <c r="AA41" i="5"/>
  <c r="Z41" i="5"/>
  <c r="Y41" i="5"/>
  <c r="X41" i="5"/>
  <c r="W41" i="5"/>
  <c r="V41" i="5"/>
  <c r="U41" i="5"/>
  <c r="T41" i="5"/>
  <c r="S41" i="5"/>
  <c r="AE41" i="5" s="1"/>
  <c r="N41" i="5"/>
  <c r="AD40" i="5"/>
  <c r="AC40" i="5"/>
  <c r="AB40" i="5"/>
  <c r="AA40" i="5"/>
  <c r="Z40" i="5"/>
  <c r="Y40" i="5"/>
  <c r="X40" i="5"/>
  <c r="W40" i="5"/>
  <c r="V40" i="5"/>
  <c r="U40" i="5"/>
  <c r="T40" i="5"/>
  <c r="S40" i="5"/>
  <c r="AE40" i="5" s="1"/>
  <c r="N40" i="5"/>
  <c r="AD39" i="5"/>
  <c r="AC39" i="5"/>
  <c r="AB39" i="5"/>
  <c r="AA39" i="5"/>
  <c r="Z39" i="5"/>
  <c r="Y39" i="5"/>
  <c r="X39" i="5"/>
  <c r="W39" i="5"/>
  <c r="V39" i="5"/>
  <c r="U39" i="5"/>
  <c r="T39" i="5"/>
  <c r="S39" i="5"/>
  <c r="AE39" i="5" s="1"/>
  <c r="N39" i="5"/>
  <c r="AD38" i="5"/>
  <c r="AC38" i="5"/>
  <c r="AB38" i="5"/>
  <c r="AA38" i="5"/>
  <c r="Z38" i="5"/>
  <c r="Y38" i="5"/>
  <c r="X38" i="5"/>
  <c r="W38" i="5"/>
  <c r="V38" i="5"/>
  <c r="U38" i="5"/>
  <c r="T38" i="5"/>
  <c r="AE38" i="5" s="1"/>
  <c r="S38" i="5"/>
  <c r="N38" i="5"/>
  <c r="AD37" i="5"/>
  <c r="AC37" i="5"/>
  <c r="AB37" i="5"/>
  <c r="AA37" i="5"/>
  <c r="Z37" i="5"/>
  <c r="Y37" i="5"/>
  <c r="X37" i="5"/>
  <c r="W37" i="5"/>
  <c r="V37" i="5"/>
  <c r="U37" i="5"/>
  <c r="T37" i="5"/>
  <c r="S37" i="5"/>
  <c r="AE37" i="5" s="1"/>
  <c r="N37" i="5"/>
  <c r="AD36" i="5"/>
  <c r="AC36" i="5"/>
  <c r="AB36" i="5"/>
  <c r="AA36" i="5"/>
  <c r="Z36" i="5"/>
  <c r="Y36" i="5"/>
  <c r="X36" i="5"/>
  <c r="W36" i="5"/>
  <c r="V36" i="5"/>
  <c r="U36" i="5"/>
  <c r="T36" i="5"/>
  <c r="S36" i="5"/>
  <c r="AE36" i="5" s="1"/>
  <c r="N36" i="5"/>
  <c r="AD35" i="5"/>
  <c r="AC35" i="5"/>
  <c r="AB35" i="5"/>
  <c r="AA35" i="5"/>
  <c r="Z35" i="5"/>
  <c r="Y35" i="5"/>
  <c r="X35" i="5"/>
  <c r="W35" i="5"/>
  <c r="V35" i="5"/>
  <c r="U35" i="5"/>
  <c r="T35" i="5"/>
  <c r="S35" i="5"/>
  <c r="AE35" i="5" s="1"/>
  <c r="N35" i="5"/>
  <c r="AD34" i="5"/>
  <c r="AC34" i="5"/>
  <c r="AB34" i="5"/>
  <c r="AB44" i="5" s="1"/>
  <c r="AA34" i="5"/>
  <c r="Z34" i="5"/>
  <c r="Y34" i="5"/>
  <c r="X34" i="5"/>
  <c r="X44" i="5" s="1"/>
  <c r="W34" i="5"/>
  <c r="V34" i="5"/>
  <c r="U34" i="5"/>
  <c r="T34" i="5"/>
  <c r="AE34" i="5" s="1"/>
  <c r="S34" i="5"/>
  <c r="N34" i="5"/>
  <c r="AD33" i="5"/>
  <c r="AD44" i="5" s="1"/>
  <c r="AC33" i="5"/>
  <c r="AC44" i="5" s="1"/>
  <c r="AB33" i="5"/>
  <c r="AA33" i="5"/>
  <c r="AA44" i="5" s="1"/>
  <c r="Z33" i="5"/>
  <c r="Z44" i="5" s="1"/>
  <c r="Y33" i="5"/>
  <c r="Y44" i="5" s="1"/>
  <c r="X33" i="5"/>
  <c r="W33" i="5"/>
  <c r="W44" i="5" s="1"/>
  <c r="V33" i="5"/>
  <c r="V44" i="5" s="1"/>
  <c r="U33" i="5"/>
  <c r="U44" i="5" s="1"/>
  <c r="T33" i="5"/>
  <c r="S33" i="5"/>
  <c r="S44" i="5" s="1"/>
  <c r="N33" i="5"/>
  <c r="M29" i="5"/>
  <c r="L29" i="5"/>
  <c r="K29" i="5"/>
  <c r="J29" i="5"/>
  <c r="I29" i="5"/>
  <c r="H29" i="5"/>
  <c r="G29" i="5"/>
  <c r="F29" i="5"/>
  <c r="E29" i="5"/>
  <c r="D29" i="5"/>
  <c r="C29" i="5"/>
  <c r="B29" i="5"/>
  <c r="AD26" i="5"/>
  <c r="AC26" i="5"/>
  <c r="AA26" i="5"/>
  <c r="Z26" i="5"/>
  <c r="Y26" i="5"/>
  <c r="X26" i="5"/>
  <c r="W26" i="5"/>
  <c r="V26" i="5"/>
  <c r="U26" i="5"/>
  <c r="T26" i="5"/>
  <c r="S26" i="5"/>
  <c r="N26" i="5"/>
  <c r="AD25" i="5"/>
  <c r="AC25" i="5"/>
  <c r="AB25" i="5"/>
  <c r="AA25" i="5"/>
  <c r="Z25" i="5"/>
  <c r="Y25" i="5"/>
  <c r="X25" i="5"/>
  <c r="W25" i="5"/>
  <c r="V25" i="5"/>
  <c r="U25" i="5"/>
  <c r="T25" i="5"/>
  <c r="S25" i="5"/>
  <c r="N25" i="5"/>
  <c r="AD24" i="5"/>
  <c r="AC24" i="5"/>
  <c r="AB24" i="5"/>
  <c r="AA24" i="5"/>
  <c r="Z24" i="5"/>
  <c r="Y24" i="5"/>
  <c r="X24" i="5"/>
  <c r="W24" i="5"/>
  <c r="V24" i="5"/>
  <c r="U24" i="5"/>
  <c r="T24" i="5"/>
  <c r="S24" i="5"/>
  <c r="N24" i="5"/>
  <c r="AD23" i="5"/>
  <c r="AC23" i="5"/>
  <c r="AB23" i="5"/>
  <c r="AA23" i="5"/>
  <c r="Z23" i="5"/>
  <c r="Y23" i="5"/>
  <c r="X23" i="5"/>
  <c r="W23" i="5"/>
  <c r="V23" i="5"/>
  <c r="U23" i="5"/>
  <c r="T23" i="5"/>
  <c r="S23" i="5"/>
  <c r="N23" i="5"/>
  <c r="AD22" i="5"/>
  <c r="AC22" i="5"/>
  <c r="AB22" i="5"/>
  <c r="AA22" i="5"/>
  <c r="Z22" i="5"/>
  <c r="Y22" i="5"/>
  <c r="X22" i="5"/>
  <c r="W22" i="5"/>
  <c r="V22" i="5"/>
  <c r="U22" i="5"/>
  <c r="T22" i="5"/>
  <c r="S22" i="5"/>
  <c r="N22" i="5"/>
  <c r="O22" i="5" s="1"/>
  <c r="AD21" i="5"/>
  <c r="AC21" i="5"/>
  <c r="AB21" i="5"/>
  <c r="AA21" i="5"/>
  <c r="Z21" i="5"/>
  <c r="Y21" i="5"/>
  <c r="X21" i="5"/>
  <c r="W21" i="5"/>
  <c r="V21" i="5"/>
  <c r="U21" i="5"/>
  <c r="T21" i="5"/>
  <c r="S21" i="5"/>
  <c r="N21" i="5"/>
  <c r="AD20" i="5"/>
  <c r="AC20" i="5"/>
  <c r="AB20" i="5"/>
  <c r="AA20" i="5"/>
  <c r="Z20" i="5"/>
  <c r="Y20" i="5"/>
  <c r="X20" i="5"/>
  <c r="W20" i="5"/>
  <c r="V20" i="5"/>
  <c r="U20" i="5"/>
  <c r="T20" i="5"/>
  <c r="S20" i="5"/>
  <c r="N20" i="5"/>
  <c r="AD19" i="5"/>
  <c r="AC19" i="5"/>
  <c r="AB19" i="5"/>
  <c r="AA19" i="5"/>
  <c r="Z19" i="5"/>
  <c r="Y19" i="5"/>
  <c r="X19" i="5"/>
  <c r="W19" i="5"/>
  <c r="V19" i="5"/>
  <c r="U19" i="5"/>
  <c r="T19" i="5"/>
  <c r="S19" i="5"/>
  <c r="N19" i="5"/>
  <c r="AD18" i="5"/>
  <c r="AC18" i="5"/>
  <c r="AB18" i="5"/>
  <c r="AA18" i="5"/>
  <c r="Z18" i="5"/>
  <c r="Y18" i="5"/>
  <c r="X18" i="5"/>
  <c r="W18" i="5"/>
  <c r="V18" i="5"/>
  <c r="U18" i="5"/>
  <c r="T18" i="5"/>
  <c r="S18" i="5"/>
  <c r="N18" i="5"/>
  <c r="O18" i="5" s="1"/>
  <c r="N12" i="5"/>
  <c r="N11" i="5"/>
  <c r="N10" i="5"/>
  <c r="N9" i="5"/>
  <c r="N8" i="5"/>
  <c r="N7" i="5"/>
  <c r="N6" i="5"/>
  <c r="N5" i="5"/>
  <c r="N4" i="5"/>
  <c r="N3" i="5"/>
  <c r="O27" i="5" l="1"/>
  <c r="T44" i="5"/>
  <c r="V59" i="5"/>
  <c r="V60" i="5" s="1"/>
  <c r="Z59" i="5"/>
  <c r="Z60" i="5" s="1"/>
  <c r="AE57" i="5"/>
  <c r="AF57" i="5" s="1"/>
  <c r="O19" i="5"/>
  <c r="O23" i="5"/>
  <c r="O43" i="5"/>
  <c r="O51" i="5"/>
  <c r="O54" i="5"/>
  <c r="O58" i="5"/>
  <c r="E60" i="5"/>
  <c r="I60" i="5"/>
  <c r="M60" i="5"/>
  <c r="M75" i="5" s="1"/>
  <c r="O20" i="5"/>
  <c r="AB60" i="5"/>
  <c r="O48" i="5"/>
  <c r="O55" i="5"/>
  <c r="B75" i="5"/>
  <c r="F60" i="5"/>
  <c r="J60" i="5"/>
  <c r="AD59" i="5"/>
  <c r="AD60" i="5" s="1"/>
  <c r="U59" i="5"/>
  <c r="U60" i="5" s="1"/>
  <c r="Y59" i="5"/>
  <c r="Y60" i="5" s="1"/>
  <c r="W59" i="5"/>
  <c r="W60" i="5" s="1"/>
  <c r="AE49" i="5"/>
  <c r="AF49" i="5" s="1"/>
  <c r="AE50" i="5"/>
  <c r="AF50" i="5" s="1"/>
  <c r="AE51" i="5"/>
  <c r="AF51" i="5" s="1"/>
  <c r="AE53" i="5"/>
  <c r="AF53" i="5" s="1"/>
  <c r="AE54" i="5"/>
  <c r="AF54" i="5" s="1"/>
  <c r="AE55" i="5"/>
  <c r="AF55" i="5" s="1"/>
  <c r="N59" i="5"/>
  <c r="T59" i="5"/>
  <c r="X59" i="5"/>
  <c r="X60" i="5" s="1"/>
  <c r="AC59" i="5"/>
  <c r="AC60" i="5" s="1"/>
  <c r="AE58" i="5"/>
  <c r="AF58" i="5" s="1"/>
  <c r="AE48" i="5"/>
  <c r="AF48" i="5" s="1"/>
  <c r="AA59" i="5"/>
  <c r="AA60" i="5" s="1"/>
  <c r="AE52" i="5"/>
  <c r="AF52" i="5" s="1"/>
  <c r="AE56" i="5"/>
  <c r="AF56" i="5" s="1"/>
  <c r="S59" i="5"/>
  <c r="O70" i="5"/>
  <c r="AE27" i="5"/>
  <c r="AF42" i="5" s="1"/>
  <c r="AB29" i="5"/>
  <c r="AD29" i="5"/>
  <c r="Z29" i="5"/>
  <c r="T29" i="5"/>
  <c r="X29" i="5"/>
  <c r="AE28" i="5"/>
  <c r="AF43" i="5" s="1"/>
  <c r="Y29" i="5"/>
  <c r="U29" i="5"/>
  <c r="V29" i="5"/>
  <c r="AC29" i="5"/>
  <c r="S29" i="5"/>
  <c r="W29" i="5"/>
  <c r="AA29" i="5"/>
  <c r="E75" i="5"/>
  <c r="I75" i="5"/>
  <c r="N90" i="5"/>
  <c r="B30" i="5"/>
  <c r="F30" i="5"/>
  <c r="J30" i="5"/>
  <c r="E45" i="5"/>
  <c r="M45" i="5"/>
  <c r="L75" i="5"/>
  <c r="O38" i="5"/>
  <c r="O68" i="5"/>
  <c r="AD70" i="5"/>
  <c r="AE70" i="5" s="1"/>
  <c r="B45" i="5"/>
  <c r="O67" i="5"/>
  <c r="J45" i="5"/>
  <c r="F45" i="5"/>
  <c r="O35" i="5"/>
  <c r="O33" i="5"/>
  <c r="F75" i="5"/>
  <c r="J75" i="5"/>
  <c r="O66" i="5"/>
  <c r="D75" i="5"/>
  <c r="O85" i="5"/>
  <c r="O36" i="5"/>
  <c r="O65" i="5"/>
  <c r="O82" i="5"/>
  <c r="X90" i="5"/>
  <c r="AE81" i="5"/>
  <c r="O81" i="5"/>
  <c r="V90" i="5"/>
  <c r="Z90" i="5"/>
  <c r="AD90" i="5"/>
  <c r="AE82" i="5"/>
  <c r="O83" i="5"/>
  <c r="AE85" i="5"/>
  <c r="O63" i="5"/>
  <c r="T74" i="5"/>
  <c r="X74" i="5"/>
  <c r="AB74" i="5"/>
  <c r="O64" i="5"/>
  <c r="Z74" i="5"/>
  <c r="T90" i="5"/>
  <c r="AB90" i="5"/>
  <c r="AE80" i="5"/>
  <c r="O84" i="5"/>
  <c r="AE86" i="5"/>
  <c r="O80" i="5"/>
  <c r="U74" i="5"/>
  <c r="Y74" i="5"/>
  <c r="Y75" i="5" s="1"/>
  <c r="AC74" i="5"/>
  <c r="S74" i="5"/>
  <c r="AA74" i="5"/>
  <c r="N74" i="5"/>
  <c r="O86" i="5" s="1"/>
  <c r="U90" i="5"/>
  <c r="Y90" i="5"/>
  <c r="AC90" i="5"/>
  <c r="AE84" i="5"/>
  <c r="B91" i="5"/>
  <c r="AE66" i="5"/>
  <c r="C75" i="5"/>
  <c r="G75" i="5"/>
  <c r="K75" i="5"/>
  <c r="H75" i="5"/>
  <c r="AE63" i="5"/>
  <c r="W74" i="5"/>
  <c r="AE65" i="5"/>
  <c r="AE67" i="5"/>
  <c r="AE69" i="5"/>
  <c r="O39" i="5"/>
  <c r="AE21" i="5"/>
  <c r="I45" i="5"/>
  <c r="O24" i="5"/>
  <c r="AE18" i="5"/>
  <c r="E30" i="5"/>
  <c r="AE26" i="5"/>
  <c r="D30" i="5"/>
  <c r="H30" i="5"/>
  <c r="L30" i="5"/>
  <c r="AE22" i="5"/>
  <c r="AE24" i="5"/>
  <c r="I30" i="5"/>
  <c r="M30" i="5"/>
  <c r="AE25" i="5"/>
  <c r="C30" i="5"/>
  <c r="C45" i="5"/>
  <c r="K30" i="5"/>
  <c r="K45" i="5"/>
  <c r="G30" i="5"/>
  <c r="G45" i="5"/>
  <c r="V74" i="5"/>
  <c r="AE68" i="5"/>
  <c r="AE20" i="5"/>
  <c r="O41" i="5"/>
  <c r="D45" i="5"/>
  <c r="L45" i="5"/>
  <c r="AE64" i="5"/>
  <c r="N15" i="5"/>
  <c r="AE33" i="5"/>
  <c r="O40" i="5"/>
  <c r="S90" i="5"/>
  <c r="W90" i="5"/>
  <c r="AA90" i="5"/>
  <c r="AE83" i="5"/>
  <c r="AE23" i="5"/>
  <c r="O37" i="5"/>
  <c r="H45" i="5"/>
  <c r="C91" i="5"/>
  <c r="AE19" i="5"/>
  <c r="N29" i="5"/>
  <c r="N44" i="5"/>
  <c r="AE79" i="5"/>
  <c r="T60" i="5" l="1"/>
  <c r="N60" i="5"/>
  <c r="O59" i="5"/>
  <c r="S60" i="5"/>
  <c r="AE60" i="5" s="1"/>
  <c r="AE59" i="5"/>
  <c r="Y45" i="5"/>
  <c r="AE29" i="5"/>
  <c r="W45" i="5"/>
  <c r="AF68" i="5"/>
  <c r="X75" i="5"/>
  <c r="X91" i="5" s="1"/>
  <c r="AD45" i="5"/>
  <c r="AB45" i="5"/>
  <c r="AF70" i="5"/>
  <c r="AF39" i="5"/>
  <c r="AB75" i="5"/>
  <c r="AB91" i="5" s="1"/>
  <c r="AF64" i="5"/>
  <c r="W75" i="5"/>
  <c r="W91" i="5" s="1"/>
  <c r="U75" i="5"/>
  <c r="U91" i="5" s="1"/>
  <c r="AF34" i="5"/>
  <c r="AD74" i="5"/>
  <c r="AE74" i="5" s="1"/>
  <c r="AF36" i="5"/>
  <c r="Z75" i="5"/>
  <c r="Z91" i="5" s="1"/>
  <c r="T45" i="5"/>
  <c r="U45" i="5"/>
  <c r="AF69" i="5"/>
  <c r="AA75" i="5"/>
  <c r="AA91" i="5" s="1"/>
  <c r="AF37" i="5"/>
  <c r="AF66" i="5"/>
  <c r="N91" i="5"/>
  <c r="N75" i="5"/>
  <c r="O90" i="5" s="1"/>
  <c r="T75" i="5"/>
  <c r="T91" i="5" s="1"/>
  <c r="AF33" i="5"/>
  <c r="AF40" i="5"/>
  <c r="X45" i="5"/>
  <c r="AC75" i="5"/>
  <c r="AC91" i="5" s="1"/>
  <c r="AE90" i="5"/>
  <c r="Y91" i="5"/>
  <c r="AF67" i="5"/>
  <c r="AC45" i="5"/>
  <c r="AF35" i="5"/>
  <c r="AF63" i="5"/>
  <c r="S45" i="5"/>
  <c r="AF41" i="5"/>
  <c r="AF38" i="5"/>
  <c r="Z45" i="5"/>
  <c r="AA45" i="5"/>
  <c r="N30" i="5"/>
  <c r="O29" i="5"/>
  <c r="AE44" i="5"/>
  <c r="AF65" i="5"/>
  <c r="V45" i="5"/>
  <c r="O44" i="5"/>
  <c r="N45" i="5"/>
  <c r="V75" i="5"/>
  <c r="V91" i="5" s="1"/>
  <c r="O74" i="5"/>
  <c r="S75" i="5" l="1"/>
  <c r="Z76" i="5" s="1"/>
  <c r="AD75" i="5"/>
  <c r="AD91" i="5" s="1"/>
  <c r="AE45" i="5"/>
  <c r="Z92" i="5"/>
  <c r="AE75" i="5"/>
  <c r="AE91" i="5" s="1"/>
  <c r="D10" i="4" l="1"/>
  <c r="E10" i="4"/>
  <c r="F10" i="4"/>
  <c r="G10" i="4"/>
  <c r="H10" i="4"/>
  <c r="I10" i="4"/>
  <c r="J10" i="4"/>
  <c r="K10" i="4"/>
  <c r="L10" i="4"/>
  <c r="C10" i="4"/>
  <c r="D8" i="4"/>
  <c r="E8" i="4"/>
  <c r="F8" i="4"/>
  <c r="G8" i="4"/>
  <c r="H8" i="4"/>
  <c r="I8" i="4"/>
  <c r="J8" i="4"/>
  <c r="K8" i="4"/>
  <c r="L8" i="4"/>
  <c r="C8" i="4"/>
  <c r="L11" i="4" l="1"/>
  <c r="K11" i="4"/>
  <c r="I11" i="4"/>
  <c r="G11" i="4"/>
  <c r="F11" i="4"/>
  <c r="E11" i="4"/>
  <c r="C11" i="4"/>
  <c r="D11" i="4"/>
  <c r="H11" i="4"/>
  <c r="J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George</author>
  </authors>
  <commentList>
    <comment ref="K5" authorId="0" shapeId="0" xr:uid="{2B345A9E-84C5-4186-8BBF-7DAAAE09D19A}">
      <text>
        <r>
          <rPr>
            <b/>
            <sz val="9"/>
            <color indexed="81"/>
            <rFont val="Tahoma"/>
            <family val="2"/>
          </rPr>
          <t>George:</t>
        </r>
        <r>
          <rPr>
            <sz val="9"/>
            <color indexed="81"/>
            <rFont val="Tahoma"/>
            <family val="2"/>
          </rPr>
          <t xml:space="preserve">
Bottling 20 June - Can ship after this date.
Please confirm allocation required. Total bottling voilume will be 150 doz.</t>
        </r>
      </text>
    </comment>
    <comment ref="A9" authorId="0" shapeId="0" xr:uid="{901EF0A4-FCAC-4024-91B0-0F301E79D269}">
      <text>
        <r>
          <rPr>
            <b/>
            <sz val="9"/>
            <color indexed="81"/>
            <rFont val="Tahoma"/>
            <family val="2"/>
          </rPr>
          <t>George:</t>
        </r>
        <r>
          <rPr>
            <sz val="9"/>
            <color indexed="81"/>
            <rFont val="Tahoma"/>
            <family val="2"/>
          </rPr>
          <t xml:space="preserve">
Numbers current from iDig.</t>
        </r>
      </text>
    </comment>
    <comment ref="A12" authorId="0" shapeId="0" xr:uid="{577132FD-E123-4248-A5D1-7F46686966AA}">
      <text>
        <r>
          <rPr>
            <b/>
            <sz val="9"/>
            <color indexed="81"/>
            <rFont val="Tahoma"/>
            <family val="2"/>
          </rPr>
          <t>George:</t>
        </r>
        <r>
          <rPr>
            <sz val="9"/>
            <color indexed="81"/>
            <rFont val="Tahoma"/>
            <family val="2"/>
          </rPr>
          <t xml:space="preserve">
Assumes current Stateside stock holding levels remain static and volumes of "on the water" stock remain constant also.</t>
        </r>
      </text>
    </comment>
  </commentList>
</comments>
</file>

<file path=xl/sharedStrings.xml><?xml version="1.0" encoding="utf-8"?>
<sst xmlns="http://schemas.openxmlformats.org/spreadsheetml/2006/main" count="1282" uniqueCount="159">
  <si>
    <t>Total</t>
  </si>
  <si>
    <t>SAB</t>
  </si>
  <si>
    <t>PIN</t>
  </si>
  <si>
    <t>PIG</t>
  </si>
  <si>
    <t>CHR</t>
  </si>
  <si>
    <t>GRV</t>
  </si>
  <si>
    <t>ROS</t>
  </si>
  <si>
    <t>Jules Taylor</t>
  </si>
  <si>
    <t>Better Half</t>
  </si>
  <si>
    <t>New England</t>
  </si>
  <si>
    <t>Central</t>
  </si>
  <si>
    <t>Totals</t>
  </si>
  <si>
    <t>OTQ</t>
  </si>
  <si>
    <t>Western</t>
  </si>
  <si>
    <t>Breakthru CA South, CA</t>
  </si>
  <si>
    <t>Breakthru CA North, CA</t>
  </si>
  <si>
    <t>Harvest Wine Co, CO</t>
  </si>
  <si>
    <t>Youngs Market - Phoenix, AZ</t>
  </si>
  <si>
    <t>Briggs Distributing Co.  Inc., MT</t>
  </si>
  <si>
    <t>Bronkens Distributing, MT</t>
  </si>
  <si>
    <t>Summit Beverage - Missoula, MT</t>
  </si>
  <si>
    <t>Specialty Imports - Anchorage, AK</t>
  </si>
  <si>
    <t>Idaho Wine Merchant, ID</t>
  </si>
  <si>
    <t>RNDC of Oregon, OR</t>
  </si>
  <si>
    <t>L &amp; F Favorite Brands - Houston, TX</t>
  </si>
  <si>
    <t>Southern</t>
  </si>
  <si>
    <t>L &amp; F Favorite Brands - Austin, TX</t>
  </si>
  <si>
    <t>L &amp; F Favorite Brands - Dallas, TX</t>
  </si>
  <si>
    <t>Winebow - GA, GA</t>
  </si>
  <si>
    <t>Prestige Bev Group - DC, MD</t>
  </si>
  <si>
    <t>Prestige Bev Group - Baltimore, MD</t>
  </si>
  <si>
    <t>Hop &amp; Wine Beverage, VA</t>
  </si>
  <si>
    <t>Winebow - VA, VA</t>
  </si>
  <si>
    <t>Pinnacle Imports, AL</t>
  </si>
  <si>
    <t>Lipman Co., TN</t>
  </si>
  <si>
    <t>Winebow - NJ, NJ</t>
  </si>
  <si>
    <t>Winebow - IL, IL</t>
  </si>
  <si>
    <t>Maverick Wine Co., IL</t>
  </si>
  <si>
    <t>Koerner Distributors - Effingham, IL</t>
  </si>
  <si>
    <t>Breakthru Beverage of MO Kansas City, MO</t>
  </si>
  <si>
    <t>Breakthru Beverage of MO St Louis, MO</t>
  </si>
  <si>
    <t>Wine Company The, MN</t>
  </si>
  <si>
    <t>Quench Fine Wines of Nebraska, NE</t>
  </si>
  <si>
    <t>Republic National Dist - Louisville, KY</t>
  </si>
  <si>
    <t>Okoboji Wines, IA</t>
  </si>
  <si>
    <t>Okoboji Wines - SD, SD</t>
  </si>
  <si>
    <t>M.S. WALKER OF MASSACHUSETTS, MA</t>
  </si>
  <si>
    <t>National Distributors - ME, ME</t>
  </si>
  <si>
    <t>Maine Distributors, ME</t>
  </si>
  <si>
    <t>SOH (NZ)</t>
  </si>
  <si>
    <t>Stock Position</t>
  </si>
  <si>
    <t>Current Vintage</t>
  </si>
  <si>
    <t>Net SOH</t>
  </si>
  <si>
    <t>On PO (Not yet shipped)</t>
  </si>
  <si>
    <t>Ave. Sales/Mnth</t>
  </si>
  <si>
    <t>Months SOH (NZ)</t>
  </si>
  <si>
    <t>Est. Month Ship New Vintage</t>
  </si>
  <si>
    <t>??</t>
  </si>
  <si>
    <t>Green Flag = greater than 35 cases</t>
  </si>
  <si>
    <t>Yellow Flag = 35 to 10 cases on hand</t>
  </si>
  <si>
    <t/>
  </si>
  <si>
    <t>Red Flag = less than 10 cases on hand</t>
  </si>
  <si>
    <t>Divisions</t>
  </si>
  <si>
    <t>Distributors</t>
  </si>
  <si>
    <t>Wines</t>
  </si>
  <si>
    <t xml:space="preserve"> On Hand Units</t>
  </si>
  <si>
    <t>JULES TAYLOR SAUVIGNON BLANC</t>
  </si>
  <si>
    <t>BETTER HALF SAUVIGNON BLANC</t>
  </si>
  <si>
    <t>Vin Sauvage - Las Vegas, NV</t>
  </si>
  <si>
    <t>JULES TAYLOR CHARDONNAY</t>
  </si>
  <si>
    <t>JULES TAYLOR PINOT NOIR</t>
  </si>
  <si>
    <t>BETTER HALF PINOT NOIR</t>
  </si>
  <si>
    <t>JULES TAYLOR PINOT GRIS</t>
  </si>
  <si>
    <t>JULES TAYLOR GRUNER VELTLINER</t>
  </si>
  <si>
    <t>JULES TAYLOR THE JULES ROSE</t>
  </si>
  <si>
    <t>Vehrs  Inc., WA</t>
  </si>
  <si>
    <t>JULES TAYLOR OTQ SAUVIGNON BLANC</t>
  </si>
  <si>
    <t>12mnth Depletions</t>
  </si>
  <si>
    <t>1 Month 12/1/2024 thru 12/31/2024</t>
  </si>
  <si>
    <t>Dist. STATE</t>
  </si>
  <si>
    <t>CA</t>
  </si>
  <si>
    <t>WA</t>
  </si>
  <si>
    <t>CO</t>
  </si>
  <si>
    <t>AZ</t>
  </si>
  <si>
    <t>MT</t>
  </si>
  <si>
    <t>OR</t>
  </si>
  <si>
    <t>NV</t>
  </si>
  <si>
    <t>ID</t>
  </si>
  <si>
    <t>S&amp;C/Hayden, ID</t>
  </si>
  <si>
    <t>AK</t>
  </si>
  <si>
    <t>TX</t>
  </si>
  <si>
    <t>L &amp; F Distributors - Corpus Christi, TX</t>
  </si>
  <si>
    <t>L &amp; F Distributors - El Paso, TX</t>
  </si>
  <si>
    <t>L &amp; F Distributors - Harlingen, TX</t>
  </si>
  <si>
    <t>L &amp; F Distributors - Laredo, TX</t>
  </si>
  <si>
    <t>L &amp; F Distributors - McAllen, TX</t>
  </si>
  <si>
    <t>NJ</t>
  </si>
  <si>
    <t>MD</t>
  </si>
  <si>
    <t>VA</t>
  </si>
  <si>
    <t>GA</t>
  </si>
  <si>
    <t>Prime Wine &amp; Spirits of GA, GA</t>
  </si>
  <si>
    <t>LA</t>
  </si>
  <si>
    <t>Uncorked, LA</t>
  </si>
  <si>
    <t>AL</t>
  </si>
  <si>
    <t>TN</t>
  </si>
  <si>
    <t>IL</t>
  </si>
  <si>
    <t>MN</t>
  </si>
  <si>
    <t>MO</t>
  </si>
  <si>
    <t>IN</t>
  </si>
  <si>
    <t>Carroll Wine and Spirits, IN</t>
  </si>
  <si>
    <t>NE</t>
  </si>
  <si>
    <t>KY</t>
  </si>
  <si>
    <t>IA</t>
  </si>
  <si>
    <t>SD</t>
  </si>
  <si>
    <t>MA</t>
  </si>
  <si>
    <t>ME</t>
  </si>
  <si>
    <r>
      <t xml:space="preserve">Distributor Stock on Hand  - </t>
    </r>
    <r>
      <rPr>
        <b/>
        <sz val="11"/>
        <color rgb="FFFF0000"/>
        <rFont val="Calibri"/>
        <family val="2"/>
        <scheme val="minor"/>
      </rPr>
      <t>End of December 24</t>
    </r>
  </si>
  <si>
    <r>
      <t>NZ Stock on Hand</t>
    </r>
    <r>
      <rPr>
        <sz val="11"/>
        <color rgb="FFFF0000"/>
        <rFont val="Calibri"/>
        <family val="2"/>
        <scheme val="minor"/>
      </rPr>
      <t xml:space="preserve">  13/01/25</t>
    </r>
  </si>
  <si>
    <t>&lt; not yet updated as at 13/01/25</t>
  </si>
  <si>
    <t>confirm what JT PIN 2022 stock allocation is for</t>
  </si>
  <si>
    <t>confirm what TBH PIN 2022 stock allocation is</t>
  </si>
  <si>
    <t>SALES 12x750ml</t>
  </si>
  <si>
    <t>MAT 12x750ml</t>
  </si>
  <si>
    <t>12 Month
Total</t>
  </si>
  <si>
    <t>OTQ SAUVIGNON BLANC</t>
  </si>
  <si>
    <t>OTQ CHARDONNAY</t>
  </si>
  <si>
    <t>OTQ PINOT NOIR</t>
  </si>
  <si>
    <t>% Change on PY</t>
  </si>
  <si>
    <t>12 Month
Average</t>
  </si>
  <si>
    <t>OTQ PINOT ROSE</t>
  </si>
  <si>
    <t>Compared to Month PY</t>
  </si>
  <si>
    <t>2024 MAT</t>
  </si>
  <si>
    <t>Act/FY25
JAN 25</t>
  </si>
  <si>
    <t>Act/FY25
FEB 25</t>
  </si>
  <si>
    <t>Act/FY25
MAR 25</t>
  </si>
  <si>
    <t>Act/FY25
APR 25</t>
  </si>
  <si>
    <t>Act/FY25
MAY 25</t>
  </si>
  <si>
    <t>Act/FY25
JUN 25</t>
  </si>
  <si>
    <t>Act/FY25
JUL 25</t>
  </si>
  <si>
    <t>Act/FY25
AUG 25</t>
  </si>
  <si>
    <t>Act/FY25
SEP 25</t>
  </si>
  <si>
    <t>Act/FY25
OCT 25</t>
  </si>
  <si>
    <t>Act/FY25
NOV 25</t>
  </si>
  <si>
    <t>Act/FY25
DEC 25</t>
  </si>
  <si>
    <t>2025 MAT</t>
  </si>
  <si>
    <t xml:space="preserve"> </t>
  </si>
  <si>
    <t>JT SAUVIGNON BLANC</t>
  </si>
  <si>
    <t>JT CHARDONNAY</t>
  </si>
  <si>
    <t>JT PINOT GRIS</t>
  </si>
  <si>
    <t>JT ROSE</t>
  </si>
  <si>
    <t>JT PINOT NOIR</t>
  </si>
  <si>
    <t>JT GRUNER VELTLINER</t>
  </si>
  <si>
    <t>JT PINOT ROSE</t>
  </si>
  <si>
    <t>BH SAUVIGNON BLANC</t>
  </si>
  <si>
    <t>BH PINOT NOIR</t>
  </si>
  <si>
    <t>Products
2022 - some omissions in data</t>
  </si>
  <si>
    <t>2023  MAT</t>
  </si>
  <si>
    <t>2026 MAT</t>
  </si>
  <si>
    <t>2027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</si>
</sst>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305496"/>
      <name val="Tahoma"/>
      <family val="2"/>
    </font>
    <font>
      <sz val="10"/>
      <color rgb="FFD9E1F2"/>
      <name val="Tahoma"/>
      <family val="2"/>
    </font>
    <font>
      <b/>
      <sz val="10"/>
      <color theme="0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0"/>
      <name val="Segoe UI"/>
      <family val="2"/>
    </font>
    <font>
      <b/>
      <sz val="10"/>
      <color theme="9" tint="-0.249977111117893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</font>
    <font>
      <sz val="10"/>
      <color theme="6"/>
      <name val="Segoe UI"/>
      <family val="2"/>
    </font>
    <font>
      <b/>
      <sz val="10"/>
      <color theme="6"/>
      <name val="Segoe UI"/>
      <family val="2"/>
    </font>
    <font>
      <sz val="10"/>
      <color rgb="FFFFCCCC"/>
      <name val="Segoe UI"/>
      <family val="2"/>
    </font>
    <font>
      <b/>
      <sz val="10"/>
      <color rgb="FFFFCCCC"/>
      <name val="Segoe UI"/>
      <family val="2"/>
    </font>
    <font>
      <sz val="10"/>
      <color theme="0" tint="-0.249977111117893"/>
      <name val="Segoe UI"/>
      <family val="2"/>
    </font>
    <font>
      <sz val="10"/>
      <color theme="2" tint="-0.249977111117893"/>
      <name val="Segoe UI"/>
      <family val="2"/>
    </font>
    <font>
      <b/>
      <sz val="10"/>
      <color theme="2" tint="-0.249977111117893"/>
      <name val="Segoe UI"/>
      <family val="2"/>
    </font>
    <font>
      <b/>
      <sz val="10"/>
      <color rgb="FF2E7A37"/>
      <name val="Segoe UI"/>
      <family val="2"/>
    </font>
    <font>
      <b/>
      <sz val="10"/>
      <color theme="5"/>
      <name val="Segoe UI"/>
      <family val="2"/>
    </font>
    <font>
      <b/>
      <sz val="10"/>
      <color theme="0" tint="-0.34998626667073579"/>
      <name val="Segoe UI"/>
      <family val="2"/>
    </font>
    <font>
      <sz val="10"/>
      <color theme="5"/>
      <name val="Segoe UI"/>
      <family val="2"/>
    </font>
    <font>
      <sz val="10"/>
      <color theme="1" tint="0.499984740745262"/>
      <name val="Segoe UI"/>
      <family val="2"/>
    </font>
    <font>
      <b/>
      <sz val="10"/>
      <color theme="1" tint="0.499984740745262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CF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CDDD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E7A37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1" fillId="3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0" fontId="10" fillId="0" borderId="0" xfId="0" applyFont="1"/>
    <xf numFmtId="0" fontId="12" fillId="2" borderId="6" xfId="0" applyFont="1" applyFill="1" applyBorder="1" applyAlignment="1">
      <alignment horizontal="left"/>
    </xf>
    <xf numFmtId="3" fontId="6" fillId="0" borderId="10" xfId="0" applyNumberFormat="1" applyFont="1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7" borderId="1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17" fontId="0" fillId="5" borderId="2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/>
    </xf>
    <xf numFmtId="0" fontId="4" fillId="0" borderId="0" xfId="0" applyFont="1"/>
    <xf numFmtId="0" fontId="9" fillId="8" borderId="0" xfId="0" applyFont="1" applyFill="1"/>
    <xf numFmtId="0" fontId="13" fillId="11" borderId="18" xfId="0" applyFont="1" applyFill="1" applyBorder="1" applyAlignment="1">
      <alignment horizontal="left" vertical="top" wrapText="1"/>
    </xf>
    <xf numFmtId="0" fontId="14" fillId="11" borderId="18" xfId="0" applyFont="1" applyFill="1" applyBorder="1" applyAlignment="1">
      <alignment horizontal="right" vertical="top" wrapText="1"/>
    </xf>
    <xf numFmtId="0" fontId="14" fillId="11" borderId="1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3" fontId="16" fillId="0" borderId="0" xfId="0" applyNumberFormat="1" applyFont="1" applyAlignment="1">
      <alignment horizontal="right" vertical="center" wrapText="1"/>
    </xf>
    <xf numFmtId="3" fontId="15" fillId="0" borderId="0" xfId="0" applyNumberFormat="1" applyFont="1" applyAlignment="1">
      <alignment horizontal="right" vertical="center" wrapText="1"/>
    </xf>
    <xf numFmtId="3" fontId="17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left" vertical="center" wrapText="1"/>
    </xf>
    <xf numFmtId="0" fontId="18" fillId="12" borderId="19" xfId="0" applyFont="1" applyFill="1" applyBorder="1" applyAlignment="1">
      <alignment horizontal="left" vertical="center" wrapText="1"/>
    </xf>
    <xf numFmtId="3" fontId="15" fillId="12" borderId="1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3" fontId="18" fillId="0" borderId="0" xfId="0" applyNumberFormat="1" applyFont="1" applyAlignment="1">
      <alignment horizontal="right" vertical="center" wrapText="1"/>
    </xf>
    <xf numFmtId="165" fontId="19" fillId="0" borderId="0" xfId="1" applyNumberFormat="1" applyFont="1" applyFill="1"/>
    <xf numFmtId="165" fontId="20" fillId="0" borderId="0" xfId="1" applyNumberFormat="1" applyFont="1" applyFill="1"/>
    <xf numFmtId="3" fontId="18" fillId="13" borderId="0" xfId="0" applyNumberFormat="1" applyFont="1" applyFill="1" applyAlignment="1">
      <alignment horizontal="right" vertical="center" wrapText="1"/>
    </xf>
    <xf numFmtId="0" fontId="18" fillId="12" borderId="0" xfId="0" applyFont="1" applyFill="1" applyAlignment="1">
      <alignment horizontal="left" vertical="center" wrapText="1"/>
    </xf>
    <xf numFmtId="3" fontId="21" fillId="12" borderId="0" xfId="0" applyNumberFormat="1" applyFont="1" applyFill="1" applyAlignment="1">
      <alignment horizontal="right" vertical="center" wrapText="1"/>
    </xf>
    <xf numFmtId="3" fontId="15" fillId="12" borderId="0" xfId="0" applyNumberFormat="1" applyFont="1" applyFill="1" applyAlignment="1">
      <alignment horizontal="right" vertical="center" wrapText="1"/>
    </xf>
    <xf numFmtId="3" fontId="22" fillId="12" borderId="0" xfId="0" applyNumberFormat="1" applyFont="1" applyFill="1" applyAlignment="1">
      <alignment horizontal="right" vertical="center" wrapText="1"/>
    </xf>
    <xf numFmtId="3" fontId="23" fillId="12" borderId="0" xfId="0" applyNumberFormat="1" applyFont="1" applyFill="1" applyAlignment="1">
      <alignment horizontal="right" vertical="center" wrapText="1"/>
    </xf>
    <xf numFmtId="165" fontId="23" fillId="0" borderId="0" xfId="1" applyNumberFormat="1" applyFont="1" applyFill="1"/>
    <xf numFmtId="165" fontId="20" fillId="0" borderId="0" xfId="1" applyNumberFormat="1" applyFont="1"/>
    <xf numFmtId="165" fontId="23" fillId="0" borderId="0" xfId="1" applyNumberFormat="1" applyFont="1"/>
    <xf numFmtId="165" fontId="18" fillId="0" borderId="0" xfId="1" applyNumberFormat="1" applyFont="1" applyFill="1"/>
    <xf numFmtId="0" fontId="24" fillId="0" borderId="0" xfId="0" applyFont="1"/>
    <xf numFmtId="3" fontId="18" fillId="12" borderId="0" xfId="0" applyNumberFormat="1" applyFont="1" applyFill="1" applyAlignment="1">
      <alignment horizontal="right" vertical="center" wrapText="1"/>
    </xf>
    <xf numFmtId="3" fontId="22" fillId="0" borderId="0" xfId="0" applyNumberFormat="1" applyFont="1"/>
    <xf numFmtId="165" fontId="25" fillId="0" borderId="0" xfId="1" applyNumberFormat="1" applyFont="1" applyFill="1"/>
    <xf numFmtId="3" fontId="26" fillId="0" borderId="0" xfId="0" applyNumberFormat="1" applyFont="1" applyAlignment="1">
      <alignment horizontal="right" vertical="center" wrapText="1"/>
    </xf>
    <xf numFmtId="3" fontId="27" fillId="0" borderId="0" xfId="0" applyNumberFormat="1" applyFont="1" applyAlignment="1">
      <alignment horizontal="right" vertical="center" wrapText="1"/>
    </xf>
    <xf numFmtId="3" fontId="28" fillId="0" borderId="0" xfId="0" applyNumberFormat="1" applyFont="1" applyAlignment="1">
      <alignment horizontal="right" vertical="center" wrapText="1"/>
    </xf>
    <xf numFmtId="3" fontId="26" fillId="12" borderId="19" xfId="0" applyNumberFormat="1" applyFont="1" applyFill="1" applyBorder="1" applyAlignment="1">
      <alignment horizontal="right" vertical="center" wrapText="1"/>
    </xf>
    <xf numFmtId="3" fontId="27" fillId="12" borderId="19" xfId="0" applyNumberFormat="1" applyFont="1" applyFill="1" applyBorder="1" applyAlignment="1">
      <alignment horizontal="right" vertical="center" wrapText="1"/>
    </xf>
    <xf numFmtId="3" fontId="28" fillId="13" borderId="0" xfId="0" applyNumberFormat="1" applyFont="1" applyFill="1" applyAlignment="1">
      <alignment horizontal="right" vertical="center" wrapText="1"/>
    </xf>
    <xf numFmtId="3" fontId="27" fillId="12" borderId="0" xfId="0" applyNumberFormat="1" applyFont="1" applyFill="1" applyAlignment="1">
      <alignment horizontal="right" vertical="center" wrapText="1"/>
    </xf>
    <xf numFmtId="3" fontId="26" fillId="12" borderId="0" xfId="0" applyNumberFormat="1" applyFont="1" applyFill="1" applyAlignment="1">
      <alignment horizontal="right" vertical="center" wrapText="1"/>
    </xf>
    <xf numFmtId="3" fontId="28" fillId="12" borderId="0" xfId="0" applyNumberFormat="1" applyFont="1" applyFill="1" applyAlignment="1">
      <alignment horizontal="right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3" fillId="14" borderId="0" xfId="0" applyFont="1" applyFill="1"/>
    <xf numFmtId="0" fontId="13" fillId="14" borderId="18" xfId="0" applyFont="1" applyFill="1" applyBorder="1" applyAlignment="1">
      <alignment horizontal="left" vertical="top" wrapText="1"/>
    </xf>
    <xf numFmtId="0" fontId="18" fillId="14" borderId="19" xfId="0" applyFont="1" applyFill="1" applyBorder="1" applyAlignment="1">
      <alignment horizontal="left" vertical="center" wrapText="1"/>
    </xf>
    <xf numFmtId="0" fontId="13" fillId="14" borderId="19" xfId="0" applyFont="1" applyFill="1" applyBorder="1" applyAlignment="1">
      <alignment horizontal="left" vertical="center" wrapText="1"/>
    </xf>
    <xf numFmtId="3" fontId="14" fillId="14" borderId="19" xfId="0" applyNumberFormat="1" applyFont="1" applyFill="1" applyBorder="1" applyAlignment="1">
      <alignment horizontal="right" vertical="center" wrapText="1"/>
    </xf>
    <xf numFmtId="3" fontId="13" fillId="14" borderId="19" xfId="0" applyNumberFormat="1" applyFont="1" applyFill="1" applyBorder="1" applyAlignment="1">
      <alignment horizontal="right" vertical="center" wrapText="1"/>
    </xf>
    <xf numFmtId="165" fontId="19" fillId="14" borderId="0" xfId="1" applyNumberFormat="1" applyFont="1" applyFill="1"/>
    <xf numFmtId="0" fontId="18" fillId="14" borderId="0" xfId="0" applyFont="1" applyFill="1" applyAlignment="1">
      <alignment horizontal="left" vertical="center" wrapText="1"/>
    </xf>
    <xf numFmtId="0" fontId="14" fillId="14" borderId="18" xfId="0" applyFont="1" applyFill="1" applyBorder="1" applyAlignment="1">
      <alignment horizontal="center" vertical="top" wrapText="1"/>
    </xf>
    <xf numFmtId="0" fontId="0" fillId="14" borderId="0" xfId="0" applyFill="1"/>
    <xf numFmtId="0" fontId="0" fillId="15" borderId="20" xfId="0" applyFill="1" applyBorder="1" applyAlignment="1">
      <alignment vertical="center" wrapText="1"/>
    </xf>
    <xf numFmtId="4" fontId="0" fillId="15" borderId="20" xfId="0" applyNumberFormat="1" applyFill="1" applyBorder="1" applyAlignment="1">
      <alignment vertical="center" wrapText="1"/>
    </xf>
    <xf numFmtId="165" fontId="29" fillId="0" borderId="0" xfId="1" applyNumberFormat="1" applyFont="1" applyFill="1"/>
    <xf numFmtId="165" fontId="30" fillId="0" borderId="0" xfId="1" applyNumberFormat="1" applyFont="1" applyFill="1"/>
    <xf numFmtId="3" fontId="13" fillId="14" borderId="0" xfId="0" applyNumberFormat="1" applyFont="1" applyFill="1" applyAlignment="1">
      <alignment horizontal="right" vertical="center" wrapText="1"/>
    </xf>
    <xf numFmtId="3" fontId="20" fillId="14" borderId="0" xfId="0" applyNumberFormat="1" applyFont="1" applyFill="1" applyAlignment="1">
      <alignment horizontal="right" vertical="center" wrapText="1"/>
    </xf>
    <xf numFmtId="165" fontId="13" fillId="14" borderId="0" xfId="1" applyNumberFormat="1" applyFont="1" applyFill="1"/>
    <xf numFmtId="165" fontId="29" fillId="0" borderId="0" xfId="1" applyNumberFormat="1" applyFont="1"/>
    <xf numFmtId="165" fontId="31" fillId="0" borderId="0" xfId="1" applyNumberFormat="1" applyFont="1" applyFill="1"/>
    <xf numFmtId="165" fontId="31" fillId="0" borderId="0" xfId="1" applyNumberFormat="1" applyFont="1"/>
    <xf numFmtId="0" fontId="22" fillId="0" borderId="0" xfId="0" applyFont="1" applyAlignment="1">
      <alignment horizontal="left" vertical="center"/>
    </xf>
    <xf numFmtId="3" fontId="22" fillId="0" borderId="0" xfId="0" applyNumberFormat="1" applyFont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17" fontId="14" fillId="14" borderId="18" xfId="0" applyNumberFormat="1" applyFont="1" applyFill="1" applyBorder="1" applyAlignment="1">
      <alignment horizontal="center" vertical="center" wrapText="1"/>
    </xf>
    <xf numFmtId="17" fontId="32" fillId="14" borderId="18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Alignment="1">
      <alignment horizontal="right" vertical="center" wrapText="1"/>
    </xf>
    <xf numFmtId="3" fontId="34" fillId="0" borderId="0" xfId="0" applyNumberFormat="1" applyFont="1" applyAlignment="1">
      <alignment horizontal="right" vertical="center" wrapText="1"/>
    </xf>
    <xf numFmtId="0" fontId="10" fillId="6" borderId="1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4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E7A37"/>
      <color rgb="FFF2A7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E1CB-18C9-439A-BE7B-DE6449825FEC}">
  <dimension ref="A1:AF92"/>
  <sheetViews>
    <sheetView tabSelected="1" zoomScale="90" zoomScaleNormal="90" workbookViewId="0">
      <pane ySplit="1" topLeftCell="A25" activePane="bottomLeft" state="frozen"/>
      <selection pane="bottomLeft" activeCell="D48" sqref="D48:I58"/>
    </sheetView>
  </sheetViews>
  <sheetFormatPr defaultRowHeight="15" x14ac:dyDescent="0.25"/>
  <cols>
    <col min="1" max="1" width="22.5703125" bestFit="1" customWidth="1"/>
    <col min="14" max="14" width="14.28515625" customWidth="1"/>
    <col min="18" max="18" width="22.5703125" bestFit="1" customWidth="1"/>
    <col min="19" max="30" width="8.140625" bestFit="1" customWidth="1"/>
    <col min="32" max="32" width="11.140625" bestFit="1" customWidth="1"/>
  </cols>
  <sheetData>
    <row r="1" spans="1:18" x14ac:dyDescent="0.25">
      <c r="A1" s="71" t="s">
        <v>121</v>
      </c>
      <c r="R1" s="71" t="s">
        <v>122</v>
      </c>
    </row>
    <row r="2" spans="1:18" ht="43.5" thickBot="1" x14ac:dyDescent="0.3">
      <c r="A2" s="72" t="s">
        <v>155</v>
      </c>
      <c r="B2" s="94">
        <v>44562</v>
      </c>
      <c r="C2" s="94">
        <v>44593</v>
      </c>
      <c r="D2" s="94">
        <v>44621</v>
      </c>
      <c r="E2" s="94">
        <v>44652</v>
      </c>
      <c r="F2" s="94">
        <v>44682</v>
      </c>
      <c r="G2" s="94">
        <v>44713</v>
      </c>
      <c r="H2" s="94">
        <v>44743</v>
      </c>
      <c r="I2" s="94">
        <v>44774</v>
      </c>
      <c r="J2" s="94">
        <v>44805</v>
      </c>
      <c r="K2" s="94">
        <v>44835</v>
      </c>
      <c r="L2" s="94">
        <v>44866</v>
      </c>
      <c r="M2" s="94">
        <v>44896</v>
      </c>
      <c r="N2" s="70" t="s">
        <v>123</v>
      </c>
    </row>
    <row r="3" spans="1:18" ht="15.75" thickBot="1" x14ac:dyDescent="0.3">
      <c r="A3" s="36" t="s">
        <v>146</v>
      </c>
      <c r="B3" s="81">
        <v>75</v>
      </c>
      <c r="C3" s="81">
        <v>132.83000000000001</v>
      </c>
      <c r="D3" s="81">
        <v>164.92</v>
      </c>
      <c r="E3" s="81">
        <v>233.67</v>
      </c>
      <c r="F3" s="81">
        <v>156.58000000000001</v>
      </c>
      <c r="G3" s="81">
        <v>228.08</v>
      </c>
      <c r="H3" s="81">
        <v>175.42</v>
      </c>
      <c r="I3" s="82">
        <v>1051</v>
      </c>
      <c r="J3" s="81">
        <v>0.17</v>
      </c>
      <c r="K3" s="81">
        <v>74.17</v>
      </c>
      <c r="L3" s="81">
        <v>420.33</v>
      </c>
      <c r="M3" s="82">
        <v>1954.67</v>
      </c>
      <c r="N3" s="39">
        <f>SUM(B3:M3)</f>
        <v>4666.84</v>
      </c>
    </row>
    <row r="4" spans="1:18" ht="15.75" thickBot="1" x14ac:dyDescent="0.3">
      <c r="A4" s="40" t="s">
        <v>147</v>
      </c>
      <c r="B4" s="81">
        <v>8.67</v>
      </c>
      <c r="C4" s="81">
        <v>0.17</v>
      </c>
      <c r="D4" s="81">
        <v>0.5</v>
      </c>
      <c r="E4" s="81">
        <v>0.17</v>
      </c>
      <c r="F4" s="81">
        <v>0.17</v>
      </c>
      <c r="G4" s="81">
        <v>0.17</v>
      </c>
      <c r="H4" s="81">
        <v>0.83</v>
      </c>
      <c r="I4" s="81">
        <v>0.92</v>
      </c>
      <c r="J4" s="81">
        <v>0.57999999999999996</v>
      </c>
      <c r="K4" s="81">
        <v>0.08</v>
      </c>
      <c r="L4" s="81">
        <v>50.25</v>
      </c>
      <c r="M4" s="81">
        <v>0.42</v>
      </c>
      <c r="N4" s="39">
        <f t="shared" ref="N4:N15" si="0">SUM(B4:M4)</f>
        <v>62.93</v>
      </c>
    </row>
    <row r="5" spans="1:18" ht="15.75" thickBot="1" x14ac:dyDescent="0.3">
      <c r="A5" s="40" t="s">
        <v>148</v>
      </c>
      <c r="B5" s="81">
        <v>0</v>
      </c>
      <c r="C5" s="81">
        <v>0</v>
      </c>
      <c r="D5" s="81">
        <v>0</v>
      </c>
      <c r="E5" s="81">
        <v>0</v>
      </c>
      <c r="F5" s="81">
        <v>0</v>
      </c>
      <c r="G5" s="81">
        <v>0</v>
      </c>
      <c r="H5" s="81">
        <v>0</v>
      </c>
      <c r="I5" s="81">
        <v>0</v>
      </c>
      <c r="J5" s="81">
        <v>0</v>
      </c>
      <c r="K5" s="81">
        <v>0</v>
      </c>
      <c r="L5" s="81">
        <v>48</v>
      </c>
      <c r="M5" s="81">
        <v>46</v>
      </c>
      <c r="N5" s="39">
        <f t="shared" si="0"/>
        <v>94</v>
      </c>
    </row>
    <row r="6" spans="1:18" ht="15.75" thickBot="1" x14ac:dyDescent="0.3">
      <c r="A6" s="40" t="s">
        <v>149</v>
      </c>
      <c r="B6" s="81">
        <v>0</v>
      </c>
      <c r="C6" s="81">
        <v>0</v>
      </c>
      <c r="D6" s="81">
        <v>0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v>0</v>
      </c>
      <c r="K6" s="81">
        <v>0</v>
      </c>
      <c r="L6" s="38">
        <v>0</v>
      </c>
      <c r="M6" s="37">
        <v>0</v>
      </c>
      <c r="N6" s="39">
        <f t="shared" si="0"/>
        <v>0</v>
      </c>
    </row>
    <row r="7" spans="1:18" ht="15.75" thickBot="1" x14ac:dyDescent="0.3">
      <c r="A7" s="40" t="s">
        <v>150</v>
      </c>
      <c r="B7" s="81">
        <v>12.42</v>
      </c>
      <c r="C7" s="81">
        <v>7.75</v>
      </c>
      <c r="D7" s="81">
        <v>3.17</v>
      </c>
      <c r="E7" s="81">
        <v>4.58</v>
      </c>
      <c r="F7" s="81">
        <v>3.75</v>
      </c>
      <c r="G7" s="81">
        <v>1.92</v>
      </c>
      <c r="H7" s="81">
        <v>2.67</v>
      </c>
      <c r="I7" s="81">
        <v>1.42</v>
      </c>
      <c r="J7" s="81">
        <v>2</v>
      </c>
      <c r="K7" s="81">
        <v>1.08</v>
      </c>
      <c r="L7" s="81">
        <v>3</v>
      </c>
      <c r="M7" s="81">
        <v>3</v>
      </c>
      <c r="N7" s="39">
        <f t="shared" si="0"/>
        <v>46.760000000000005</v>
      </c>
    </row>
    <row r="8" spans="1:18" ht="15.75" thickBot="1" x14ac:dyDescent="0.3">
      <c r="A8" s="36" t="s">
        <v>151</v>
      </c>
      <c r="B8" s="81">
        <v>8.33</v>
      </c>
      <c r="C8" s="81">
        <v>0.83</v>
      </c>
      <c r="D8" s="81">
        <v>2.08</v>
      </c>
      <c r="E8" s="81">
        <v>1.25</v>
      </c>
      <c r="F8" s="81">
        <v>1.75</v>
      </c>
      <c r="G8" s="81">
        <v>0</v>
      </c>
      <c r="H8" s="81">
        <v>0</v>
      </c>
      <c r="I8" s="81">
        <v>0</v>
      </c>
      <c r="J8" s="81">
        <v>0</v>
      </c>
      <c r="K8" s="81">
        <v>0</v>
      </c>
      <c r="L8" s="81">
        <v>50</v>
      </c>
      <c r="M8" s="81">
        <v>56</v>
      </c>
      <c r="N8" s="39">
        <f>SUM(B8:M8)</f>
        <v>120.24</v>
      </c>
    </row>
    <row r="9" spans="1:18" ht="15.75" thickBot="1" x14ac:dyDescent="0.3">
      <c r="A9" s="40" t="s">
        <v>129</v>
      </c>
      <c r="B9" s="81">
        <v>0</v>
      </c>
      <c r="C9" s="81">
        <v>0</v>
      </c>
      <c r="D9" s="81">
        <v>1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39">
        <f>SUM(B9:M9)</f>
        <v>1</v>
      </c>
    </row>
    <row r="10" spans="1:18" ht="15.75" thickBot="1" x14ac:dyDescent="0.3">
      <c r="A10" s="36" t="s">
        <v>124</v>
      </c>
      <c r="B10" s="81">
        <v>4.83</v>
      </c>
      <c r="C10" s="81">
        <v>5.92</v>
      </c>
      <c r="D10" s="81">
        <v>3.5</v>
      </c>
      <c r="E10" s="81">
        <v>4</v>
      </c>
      <c r="F10" s="81">
        <v>3.75</v>
      </c>
      <c r="G10" s="81">
        <v>5</v>
      </c>
      <c r="H10" s="81">
        <v>0.57999999999999996</v>
      </c>
      <c r="I10" s="81">
        <v>0</v>
      </c>
      <c r="J10" s="81">
        <v>1</v>
      </c>
      <c r="K10" s="81">
        <v>0</v>
      </c>
      <c r="L10" s="81">
        <v>0</v>
      </c>
      <c r="M10" s="81">
        <v>0</v>
      </c>
      <c r="N10" s="39">
        <f t="shared" si="0"/>
        <v>28.58</v>
      </c>
    </row>
    <row r="11" spans="1:18" ht="15.75" thickBot="1" x14ac:dyDescent="0.3">
      <c r="A11" s="36" t="s">
        <v>125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8">
        <v>0</v>
      </c>
      <c r="I11" s="37">
        <v>0</v>
      </c>
      <c r="J11" s="37">
        <v>0</v>
      </c>
      <c r="K11" s="38">
        <v>0</v>
      </c>
      <c r="L11" s="38">
        <v>0</v>
      </c>
      <c r="M11" s="37">
        <v>0</v>
      </c>
      <c r="N11" s="39">
        <f t="shared" si="0"/>
        <v>0</v>
      </c>
    </row>
    <row r="12" spans="1:18" ht="15.75" thickBot="1" x14ac:dyDescent="0.3">
      <c r="A12" s="40" t="s">
        <v>126</v>
      </c>
      <c r="B12" s="81">
        <v>0.08</v>
      </c>
      <c r="C12" s="81">
        <v>0</v>
      </c>
      <c r="D12" s="81">
        <v>0</v>
      </c>
      <c r="E12" s="81">
        <v>0</v>
      </c>
      <c r="F12" s="81">
        <v>0.42</v>
      </c>
      <c r="G12" s="81">
        <v>0.17</v>
      </c>
      <c r="H12" s="81">
        <v>0.5</v>
      </c>
      <c r="I12" s="81">
        <v>0.08</v>
      </c>
      <c r="J12" s="81">
        <v>0.83</v>
      </c>
      <c r="K12" s="81">
        <v>0</v>
      </c>
      <c r="L12" s="81">
        <v>0.5</v>
      </c>
      <c r="M12" s="81">
        <v>-0.17</v>
      </c>
      <c r="N12" s="39">
        <f t="shared" si="0"/>
        <v>2.41</v>
      </c>
    </row>
    <row r="13" spans="1:18" ht="15.75" thickBot="1" x14ac:dyDescent="0.3">
      <c r="A13" s="40" t="s">
        <v>153</v>
      </c>
      <c r="B13" s="81">
        <v>136.25</v>
      </c>
      <c r="C13" s="81">
        <v>136.75</v>
      </c>
      <c r="D13" s="81">
        <v>146.91999999999999</v>
      </c>
      <c r="E13" s="81">
        <v>157.33000000000001</v>
      </c>
      <c r="F13" s="81">
        <v>167.08</v>
      </c>
      <c r="G13" s="81">
        <v>100.33</v>
      </c>
      <c r="H13" s="81">
        <v>0</v>
      </c>
      <c r="I13" s="81">
        <v>0.08</v>
      </c>
      <c r="J13" s="81">
        <v>2</v>
      </c>
      <c r="K13" s="81">
        <v>249.08</v>
      </c>
      <c r="L13" s="81">
        <v>530.91999999999996</v>
      </c>
      <c r="M13" s="81">
        <v>846.08</v>
      </c>
      <c r="N13" s="39">
        <f t="shared" si="0"/>
        <v>2472.8200000000002</v>
      </c>
    </row>
    <row r="14" spans="1:18" ht="15.75" thickBot="1" x14ac:dyDescent="0.3">
      <c r="A14" s="40" t="s">
        <v>154</v>
      </c>
      <c r="B14" s="81">
        <v>8.67</v>
      </c>
      <c r="C14" s="81">
        <v>4.17</v>
      </c>
      <c r="D14" s="81">
        <v>8.5</v>
      </c>
      <c r="E14" s="81">
        <v>3.08</v>
      </c>
      <c r="F14" s="81">
        <v>4.5</v>
      </c>
      <c r="G14" s="81">
        <v>9.25</v>
      </c>
      <c r="H14" s="81">
        <v>2.58</v>
      </c>
      <c r="I14" s="81">
        <v>5.08</v>
      </c>
      <c r="J14" s="81">
        <v>8.42</v>
      </c>
      <c r="K14" s="81">
        <v>7.5</v>
      </c>
      <c r="L14" s="81">
        <v>10.58</v>
      </c>
      <c r="M14" s="81">
        <v>2.5</v>
      </c>
      <c r="N14" s="39">
        <f t="shared" si="0"/>
        <v>74.83</v>
      </c>
    </row>
    <row r="15" spans="1:18" x14ac:dyDescent="0.25">
      <c r="A15" s="74" t="s">
        <v>11</v>
      </c>
      <c r="B15" s="75">
        <f t="shared" ref="B15:L15" si="1">SUM(B3:B14)</f>
        <v>254.24999999999997</v>
      </c>
      <c r="C15" s="75">
        <f t="shared" si="1"/>
        <v>288.42</v>
      </c>
      <c r="D15" s="75">
        <f t="shared" si="1"/>
        <v>330.59</v>
      </c>
      <c r="E15" s="75">
        <f t="shared" si="1"/>
        <v>404.08</v>
      </c>
      <c r="F15" s="75">
        <f t="shared" si="1"/>
        <v>338</v>
      </c>
      <c r="G15" s="75">
        <f t="shared" si="1"/>
        <v>344.91999999999996</v>
      </c>
      <c r="H15" s="75">
        <f t="shared" si="1"/>
        <v>182.58</v>
      </c>
      <c r="I15" s="75">
        <f t="shared" si="1"/>
        <v>1058.58</v>
      </c>
      <c r="J15" s="75">
        <f t="shared" si="1"/>
        <v>15</v>
      </c>
      <c r="K15" s="75">
        <f t="shared" si="1"/>
        <v>331.91</v>
      </c>
      <c r="L15" s="75">
        <f t="shared" si="1"/>
        <v>1113.58</v>
      </c>
      <c r="M15" s="75">
        <f>SUM(M3:M14)</f>
        <v>2908.5</v>
      </c>
      <c r="N15" s="76">
        <f t="shared" si="0"/>
        <v>7570.41</v>
      </c>
    </row>
    <row r="16" spans="1:18" x14ac:dyDescent="0.25">
      <c r="A16" s="43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Q16" s="38"/>
    </row>
    <row r="17" spans="1:32" ht="43.5" thickBot="1" x14ac:dyDescent="0.3">
      <c r="A17" s="72">
        <v>2023</v>
      </c>
      <c r="B17" s="94">
        <v>44927</v>
      </c>
      <c r="C17" s="94">
        <v>44958</v>
      </c>
      <c r="D17" s="94">
        <v>44986</v>
      </c>
      <c r="E17" s="94">
        <v>45017</v>
      </c>
      <c r="F17" s="94">
        <v>45047</v>
      </c>
      <c r="G17" s="94">
        <v>45078</v>
      </c>
      <c r="H17" s="94">
        <v>45108</v>
      </c>
      <c r="I17" s="94">
        <v>45139</v>
      </c>
      <c r="J17" s="94">
        <v>45170</v>
      </c>
      <c r="K17" s="94">
        <v>45200</v>
      </c>
      <c r="L17" s="94">
        <v>45231</v>
      </c>
      <c r="M17" s="94">
        <v>45261</v>
      </c>
      <c r="N17" s="70" t="s">
        <v>123</v>
      </c>
      <c r="O17" s="70" t="s">
        <v>127</v>
      </c>
      <c r="Q17" s="38"/>
      <c r="R17" s="72" t="s">
        <v>156</v>
      </c>
      <c r="S17" s="94">
        <f>B17</f>
        <v>44927</v>
      </c>
      <c r="T17" s="94">
        <f t="shared" ref="T17:AD17" si="2">C17</f>
        <v>44958</v>
      </c>
      <c r="U17" s="94">
        <f t="shared" si="2"/>
        <v>44986</v>
      </c>
      <c r="V17" s="94">
        <f t="shared" si="2"/>
        <v>45017</v>
      </c>
      <c r="W17" s="94">
        <f t="shared" si="2"/>
        <v>45047</v>
      </c>
      <c r="X17" s="94">
        <f t="shared" si="2"/>
        <v>45078</v>
      </c>
      <c r="Y17" s="94">
        <f t="shared" si="2"/>
        <v>45108</v>
      </c>
      <c r="Z17" s="94">
        <f t="shared" si="2"/>
        <v>45139</v>
      </c>
      <c r="AA17" s="94">
        <f t="shared" si="2"/>
        <v>45170</v>
      </c>
      <c r="AB17" s="94">
        <f t="shared" si="2"/>
        <v>45200</v>
      </c>
      <c r="AC17" s="94">
        <f t="shared" si="2"/>
        <v>45231</v>
      </c>
      <c r="AD17" s="94">
        <f t="shared" si="2"/>
        <v>45261</v>
      </c>
      <c r="AE17" s="79" t="s">
        <v>128</v>
      </c>
      <c r="AF17" s="70"/>
    </row>
    <row r="18" spans="1:32" ht="15.75" thickBot="1" x14ac:dyDescent="0.3">
      <c r="A18" s="36" t="s">
        <v>146</v>
      </c>
      <c r="B18" s="81">
        <v>438.42</v>
      </c>
      <c r="C18" s="81">
        <v>654.75</v>
      </c>
      <c r="D18" s="81">
        <v>629.08000000000004</v>
      </c>
      <c r="E18" s="81">
        <v>635.66999999999996</v>
      </c>
      <c r="F18" s="81">
        <v>723.83</v>
      </c>
      <c r="G18" s="81">
        <v>687</v>
      </c>
      <c r="H18" s="82">
        <v>1156.25</v>
      </c>
      <c r="I18" s="81">
        <v>778.83</v>
      </c>
      <c r="J18" s="81">
        <v>725.42</v>
      </c>
      <c r="K18" s="81">
        <v>661.58</v>
      </c>
      <c r="L18" s="81">
        <v>862.92</v>
      </c>
      <c r="M18" s="81">
        <v>666.75</v>
      </c>
      <c r="N18" s="44">
        <f>SUM(B18:M18)</f>
        <v>8620.5</v>
      </c>
      <c r="O18" s="45">
        <f>(N18-N3)/N3</f>
        <v>0.84718139040549911</v>
      </c>
      <c r="Q18" s="38"/>
      <c r="R18" s="36" t="s">
        <v>146</v>
      </c>
      <c r="S18" s="37">
        <f t="shared" ref="S18:S23" si="3">SUM(C3:M3)+B18</f>
        <v>5030.26</v>
      </c>
      <c r="T18" s="37">
        <f t="shared" ref="T18:T23" si="4">SUM(D3:M3)+SUM(B18:C18)</f>
        <v>5552.18</v>
      </c>
      <c r="U18" s="37">
        <f t="shared" ref="U18:U23" si="5">SUM(E3:M3)+SUM(B18:D18)</f>
        <v>6016.34</v>
      </c>
      <c r="V18" s="37">
        <f t="shared" ref="V18:V23" si="6">SUM(F3:M3)+SUM(B18:E18)</f>
        <v>6418.34</v>
      </c>
      <c r="W18" s="37">
        <f t="shared" ref="W18:W23" si="7">SUM(G3:M3)+SUM(B18:F18)</f>
        <v>6985.59</v>
      </c>
      <c r="X18" s="37">
        <f t="shared" ref="X18:X23" si="8">SUM(H3:M3)+SUM(B18:G18)</f>
        <v>7444.51</v>
      </c>
      <c r="Y18" s="37">
        <f t="shared" ref="Y18:Y23" si="9">SUM(I3:M3)+SUM(B18:H18)</f>
        <v>8425.34</v>
      </c>
      <c r="Z18" s="37">
        <f t="shared" ref="Z18:Z23" si="10">SUM(J3:M3)+SUM(B18:I18)</f>
        <v>8153.17</v>
      </c>
      <c r="AA18" s="37">
        <f t="shared" ref="AA18:AA23" si="11">SUM(K3:M3)+SUM(B18:J18)</f>
        <v>8878.42</v>
      </c>
      <c r="AB18" s="37">
        <f t="shared" ref="AB18:AB23" si="12">SUM(L3:M3)+SUM(B18:K18)</f>
        <v>9465.83</v>
      </c>
      <c r="AC18" s="37">
        <f t="shared" ref="AC18:AC23" si="13">SUM(M3:M3)+SUM(B18:L18)</f>
        <v>9908.42</v>
      </c>
      <c r="AD18" s="38">
        <f>SUM(B18:M18)</f>
        <v>8620.5</v>
      </c>
      <c r="AE18" s="44">
        <f>AVERAGE(S18:AD18)</f>
        <v>7574.9083333333328</v>
      </c>
      <c r="AF18" s="45"/>
    </row>
    <row r="19" spans="1:32" ht="15.75" thickBot="1" x14ac:dyDescent="0.3">
      <c r="A19" s="40" t="s">
        <v>147</v>
      </c>
      <c r="B19" s="81">
        <v>3.08</v>
      </c>
      <c r="C19" s="81">
        <v>6.25</v>
      </c>
      <c r="D19" s="81">
        <v>1.67</v>
      </c>
      <c r="E19" s="81">
        <v>2.92</v>
      </c>
      <c r="F19" s="81">
        <v>3.08</v>
      </c>
      <c r="G19" s="81">
        <v>7.67</v>
      </c>
      <c r="H19" s="81">
        <v>116.08</v>
      </c>
      <c r="I19" s="81">
        <v>7.17</v>
      </c>
      <c r="J19" s="81">
        <v>3.33</v>
      </c>
      <c r="K19" s="81">
        <v>4.92</v>
      </c>
      <c r="L19" s="81">
        <v>8.17</v>
      </c>
      <c r="M19" s="81">
        <v>7.08</v>
      </c>
      <c r="N19" s="44">
        <f t="shared" ref="N19:N28" si="14">SUM(B19:M19)</f>
        <v>171.42</v>
      </c>
      <c r="O19" s="45">
        <f>(N19-N4)/N4</f>
        <v>1.7239790243127282</v>
      </c>
      <c r="Q19" s="38"/>
      <c r="R19" s="40" t="s">
        <v>147</v>
      </c>
      <c r="S19" s="37">
        <f t="shared" si="3"/>
        <v>57.34</v>
      </c>
      <c r="T19" s="37">
        <f t="shared" si="4"/>
        <v>63.42</v>
      </c>
      <c r="U19" s="37">
        <f t="shared" si="5"/>
        <v>64.59</v>
      </c>
      <c r="V19" s="37">
        <f t="shared" si="6"/>
        <v>67.34</v>
      </c>
      <c r="W19" s="37">
        <f t="shared" si="7"/>
        <v>70.25</v>
      </c>
      <c r="X19" s="37">
        <f t="shared" si="8"/>
        <v>77.75</v>
      </c>
      <c r="Y19" s="37">
        <f t="shared" si="9"/>
        <v>193</v>
      </c>
      <c r="Z19" s="37">
        <f t="shared" si="10"/>
        <v>199.25</v>
      </c>
      <c r="AA19" s="37">
        <f t="shared" si="11"/>
        <v>202</v>
      </c>
      <c r="AB19" s="37">
        <f t="shared" si="12"/>
        <v>206.83999999999997</v>
      </c>
      <c r="AC19" s="37">
        <f t="shared" si="13"/>
        <v>164.75999999999996</v>
      </c>
      <c r="AD19" s="38">
        <f t="shared" ref="AD19:AD28" si="15">SUM(B19:M19)</f>
        <v>171.42</v>
      </c>
      <c r="AE19" s="44">
        <f t="shared" ref="AE19:AE28" si="16">AVERAGE(S19:AD19)</f>
        <v>128.16333333333333</v>
      </c>
      <c r="AF19" s="45"/>
    </row>
    <row r="20" spans="1:32" ht="15.75" thickBot="1" x14ac:dyDescent="0.3">
      <c r="A20" s="40" t="s">
        <v>148</v>
      </c>
      <c r="B20" s="81">
        <v>5.25</v>
      </c>
      <c r="C20" s="81">
        <v>7.75</v>
      </c>
      <c r="D20" s="81">
        <v>7.58</v>
      </c>
      <c r="E20" s="81">
        <v>11.5</v>
      </c>
      <c r="F20" s="81">
        <v>2.5</v>
      </c>
      <c r="G20" s="81">
        <v>5.5</v>
      </c>
      <c r="H20" s="81">
        <v>56.33</v>
      </c>
      <c r="I20" s="81">
        <v>1.5</v>
      </c>
      <c r="J20" s="81">
        <v>0.25</v>
      </c>
      <c r="K20" s="81">
        <v>1</v>
      </c>
      <c r="L20" s="81">
        <v>1.08</v>
      </c>
      <c r="M20" s="81">
        <v>0</v>
      </c>
      <c r="N20" s="44">
        <f t="shared" si="14"/>
        <v>100.24</v>
      </c>
      <c r="O20" s="45">
        <f>(N20-N5)/N5</f>
        <v>6.6382978723404207E-2</v>
      </c>
      <c r="Q20" s="38"/>
      <c r="R20" s="40" t="s">
        <v>148</v>
      </c>
      <c r="S20" s="37">
        <f t="shared" si="3"/>
        <v>99.25</v>
      </c>
      <c r="T20" s="37">
        <f t="shared" si="4"/>
        <v>107</v>
      </c>
      <c r="U20" s="37">
        <f t="shared" si="5"/>
        <v>114.58</v>
      </c>
      <c r="V20" s="37">
        <f t="shared" si="6"/>
        <v>126.08</v>
      </c>
      <c r="W20" s="37">
        <f t="shared" si="7"/>
        <v>128.57999999999998</v>
      </c>
      <c r="X20" s="37">
        <f t="shared" si="8"/>
        <v>134.07999999999998</v>
      </c>
      <c r="Y20" s="37">
        <f t="shared" si="9"/>
        <v>190.41</v>
      </c>
      <c r="Z20" s="37">
        <f t="shared" si="10"/>
        <v>191.91</v>
      </c>
      <c r="AA20" s="37">
        <f t="shared" si="11"/>
        <v>192.16</v>
      </c>
      <c r="AB20" s="37">
        <f t="shared" si="12"/>
        <v>193.16</v>
      </c>
      <c r="AC20" s="37">
        <f t="shared" si="13"/>
        <v>146.24</v>
      </c>
      <c r="AD20" s="38">
        <f t="shared" si="15"/>
        <v>100.24</v>
      </c>
      <c r="AE20" s="44">
        <f t="shared" si="16"/>
        <v>143.64083333333335</v>
      </c>
      <c r="AF20" s="45"/>
    </row>
    <row r="21" spans="1:32" ht="15.75" thickBot="1" x14ac:dyDescent="0.3">
      <c r="A21" s="40" t="s">
        <v>149</v>
      </c>
      <c r="B21" s="81">
        <v>15.92</v>
      </c>
      <c r="C21" s="81">
        <v>21.42</v>
      </c>
      <c r="D21" s="81">
        <v>22.92</v>
      </c>
      <c r="E21" s="81">
        <v>9</v>
      </c>
      <c r="F21" s="81">
        <v>24.42</v>
      </c>
      <c r="G21" s="81">
        <v>29</v>
      </c>
      <c r="H21" s="81">
        <v>12.08</v>
      </c>
      <c r="I21" s="81">
        <v>13.25</v>
      </c>
      <c r="J21" s="81">
        <v>3.83</v>
      </c>
      <c r="K21" s="81">
        <v>5.25</v>
      </c>
      <c r="L21" s="81">
        <v>5</v>
      </c>
      <c r="M21" s="81">
        <v>5</v>
      </c>
      <c r="N21" s="44">
        <f t="shared" si="14"/>
        <v>167.09000000000003</v>
      </c>
      <c r="O21" s="84">
        <v>0</v>
      </c>
      <c r="Q21" s="38"/>
      <c r="R21" s="40" t="s">
        <v>149</v>
      </c>
      <c r="S21" s="37">
        <f t="shared" si="3"/>
        <v>15.92</v>
      </c>
      <c r="T21" s="37">
        <f t="shared" si="4"/>
        <v>37.340000000000003</v>
      </c>
      <c r="U21" s="37">
        <f t="shared" si="5"/>
        <v>60.260000000000005</v>
      </c>
      <c r="V21" s="37">
        <f t="shared" si="6"/>
        <v>69.260000000000005</v>
      </c>
      <c r="W21" s="37">
        <f t="shared" si="7"/>
        <v>93.68</v>
      </c>
      <c r="X21" s="37">
        <f t="shared" si="8"/>
        <v>122.68</v>
      </c>
      <c r="Y21" s="37">
        <f t="shared" si="9"/>
        <v>134.76000000000002</v>
      </c>
      <c r="Z21" s="37">
        <f t="shared" si="10"/>
        <v>148.01000000000002</v>
      </c>
      <c r="AA21" s="37">
        <f t="shared" si="11"/>
        <v>151.84000000000003</v>
      </c>
      <c r="AB21" s="37">
        <f t="shared" si="12"/>
        <v>157.09000000000003</v>
      </c>
      <c r="AC21" s="37">
        <f t="shared" si="13"/>
        <v>162.09000000000003</v>
      </c>
      <c r="AD21" s="38">
        <f t="shared" si="15"/>
        <v>167.09000000000003</v>
      </c>
      <c r="AE21" s="44">
        <f t="shared" si="16"/>
        <v>110.00166666666671</v>
      </c>
      <c r="AF21" s="45"/>
    </row>
    <row r="22" spans="1:32" ht="15.75" thickBot="1" x14ac:dyDescent="0.3">
      <c r="A22" s="40" t="s">
        <v>150</v>
      </c>
      <c r="B22" s="81">
        <v>7.17</v>
      </c>
      <c r="C22" s="81">
        <v>25.92</v>
      </c>
      <c r="D22" s="81">
        <v>33.5</v>
      </c>
      <c r="E22" s="81">
        <v>19.25</v>
      </c>
      <c r="F22" s="81">
        <v>21.42</v>
      </c>
      <c r="G22" s="81">
        <v>26.33</v>
      </c>
      <c r="H22" s="81">
        <v>132.66999999999999</v>
      </c>
      <c r="I22" s="81">
        <v>27.33</v>
      </c>
      <c r="J22" s="81">
        <v>21.42</v>
      </c>
      <c r="K22" s="81">
        <v>22.58</v>
      </c>
      <c r="L22" s="81">
        <v>31.33</v>
      </c>
      <c r="M22" s="81">
        <v>36.33</v>
      </c>
      <c r="N22" s="44">
        <f t="shared" si="14"/>
        <v>405.24999999999994</v>
      </c>
      <c r="O22" s="83">
        <f>(N22-N7)/N7</f>
        <v>7.6665953806672347</v>
      </c>
      <c r="Q22" s="38"/>
      <c r="R22" s="40" t="s">
        <v>150</v>
      </c>
      <c r="S22" s="37">
        <f t="shared" si="3"/>
        <v>41.510000000000005</v>
      </c>
      <c r="T22" s="37">
        <f t="shared" si="4"/>
        <v>59.68</v>
      </c>
      <c r="U22" s="37">
        <f t="shared" si="5"/>
        <v>90.01</v>
      </c>
      <c r="V22" s="37">
        <f t="shared" si="6"/>
        <v>104.68</v>
      </c>
      <c r="W22" s="37">
        <f t="shared" si="7"/>
        <v>122.35000000000001</v>
      </c>
      <c r="X22" s="37">
        <f t="shared" si="8"/>
        <v>146.76</v>
      </c>
      <c r="Y22" s="37">
        <f t="shared" si="9"/>
        <v>276.76</v>
      </c>
      <c r="Z22" s="37">
        <f t="shared" si="10"/>
        <v>302.66999999999996</v>
      </c>
      <c r="AA22" s="37">
        <f t="shared" si="11"/>
        <v>322.08999999999997</v>
      </c>
      <c r="AB22" s="37">
        <f t="shared" si="12"/>
        <v>343.59</v>
      </c>
      <c r="AC22" s="37">
        <f t="shared" si="13"/>
        <v>371.91999999999996</v>
      </c>
      <c r="AD22" s="38">
        <f t="shared" si="15"/>
        <v>405.24999999999994</v>
      </c>
      <c r="AE22" s="44">
        <f t="shared" si="16"/>
        <v>215.60583333333332</v>
      </c>
      <c r="AF22" s="46"/>
    </row>
    <row r="23" spans="1:32" ht="15.75" thickBot="1" x14ac:dyDescent="0.3">
      <c r="A23" s="36" t="s">
        <v>151</v>
      </c>
      <c r="B23" s="81">
        <v>6</v>
      </c>
      <c r="C23" s="81">
        <v>15.17</v>
      </c>
      <c r="D23" s="81">
        <v>31.83</v>
      </c>
      <c r="E23" s="81">
        <v>33.92</v>
      </c>
      <c r="F23" s="81">
        <v>10.75</v>
      </c>
      <c r="G23" s="81">
        <v>13.83</v>
      </c>
      <c r="H23" s="81">
        <v>66.33</v>
      </c>
      <c r="I23" s="81">
        <v>4.42</v>
      </c>
      <c r="J23" s="81">
        <v>4.75</v>
      </c>
      <c r="K23" s="81">
        <v>9.08</v>
      </c>
      <c r="L23" s="81">
        <v>5.83</v>
      </c>
      <c r="M23" s="81">
        <v>5.25</v>
      </c>
      <c r="N23" s="44">
        <f t="shared" si="14"/>
        <v>207.16</v>
      </c>
      <c r="O23" s="83">
        <f>(N23-N8)/N8</f>
        <v>0.72288755821689954</v>
      </c>
      <c r="Q23" s="38"/>
      <c r="R23" s="36" t="s">
        <v>151</v>
      </c>
      <c r="S23" s="37">
        <f t="shared" si="3"/>
        <v>117.91</v>
      </c>
      <c r="T23" s="37">
        <f t="shared" si="4"/>
        <v>132.25</v>
      </c>
      <c r="U23" s="37">
        <f t="shared" si="5"/>
        <v>162</v>
      </c>
      <c r="V23" s="37">
        <f t="shared" si="6"/>
        <v>194.67000000000002</v>
      </c>
      <c r="W23" s="37">
        <f t="shared" si="7"/>
        <v>203.67000000000002</v>
      </c>
      <c r="X23" s="37">
        <f t="shared" si="8"/>
        <v>217.5</v>
      </c>
      <c r="Y23" s="37">
        <f t="shared" si="9"/>
        <v>283.83</v>
      </c>
      <c r="Z23" s="37">
        <f t="shared" si="10"/>
        <v>288.25</v>
      </c>
      <c r="AA23" s="37">
        <f t="shared" si="11"/>
        <v>293</v>
      </c>
      <c r="AB23" s="37">
        <f t="shared" si="12"/>
        <v>302.08</v>
      </c>
      <c r="AC23" s="37">
        <f t="shared" si="13"/>
        <v>257.90999999999997</v>
      </c>
      <c r="AD23" s="38">
        <f t="shared" si="15"/>
        <v>207.16</v>
      </c>
      <c r="AE23" s="44">
        <f t="shared" si="16"/>
        <v>221.68583333333331</v>
      </c>
      <c r="AF23" s="46"/>
    </row>
    <row r="24" spans="1:32" ht="15.75" thickBot="1" x14ac:dyDescent="0.3">
      <c r="A24" s="36" t="s">
        <v>124</v>
      </c>
      <c r="B24" s="81">
        <v>0</v>
      </c>
      <c r="C24" s="81">
        <v>0</v>
      </c>
      <c r="D24" s="81">
        <v>0</v>
      </c>
      <c r="E24" s="81">
        <v>0</v>
      </c>
      <c r="F24" s="81">
        <v>0</v>
      </c>
      <c r="G24" s="81">
        <v>0</v>
      </c>
      <c r="H24" s="81">
        <v>52</v>
      </c>
      <c r="I24" s="81">
        <v>0</v>
      </c>
      <c r="J24" s="81">
        <v>0.57999999999999996</v>
      </c>
      <c r="K24" s="81">
        <v>1.75</v>
      </c>
      <c r="L24" s="81">
        <v>3.83</v>
      </c>
      <c r="M24" s="81">
        <v>1</v>
      </c>
      <c r="N24" s="44">
        <f t="shared" si="14"/>
        <v>59.16</v>
      </c>
      <c r="O24" s="45">
        <f>(N24-N10)/N10</f>
        <v>1.0699790062981105</v>
      </c>
      <c r="Q24" s="38"/>
      <c r="R24" s="36" t="s">
        <v>124</v>
      </c>
      <c r="S24" s="37">
        <f>SUM(C10:M10)+B24</f>
        <v>23.75</v>
      </c>
      <c r="T24" s="37">
        <f>SUM(D10:M10)+SUM(B24:C24)</f>
        <v>17.829999999999998</v>
      </c>
      <c r="U24" s="37">
        <f>SUM(E10:M10)+SUM(B24:D24)</f>
        <v>14.33</v>
      </c>
      <c r="V24" s="37">
        <f>SUM(F10:M10)+SUM(B24:E24)</f>
        <v>10.33</v>
      </c>
      <c r="W24" s="37">
        <f>SUM(G10:M10)+SUM(B24:F24)</f>
        <v>6.58</v>
      </c>
      <c r="X24" s="37">
        <f>SUM(H10:M10)+SUM(B24:G24)</f>
        <v>1.58</v>
      </c>
      <c r="Y24" s="37">
        <f>SUM(I10:M10)+SUM(B24:H24)</f>
        <v>53</v>
      </c>
      <c r="Z24" s="37">
        <f>SUM(J10:M10)+SUM(B24:I24)</f>
        <v>53</v>
      </c>
      <c r="AA24" s="37">
        <f>SUM(K10:M10)+SUM(B24:J24)</f>
        <v>52.58</v>
      </c>
      <c r="AB24" s="37">
        <f>SUM(L10:M10)+SUM(B24:K24)</f>
        <v>54.33</v>
      </c>
      <c r="AC24" s="37">
        <f>SUM(M10:M10)+SUM(B24:L24)</f>
        <v>58.16</v>
      </c>
      <c r="AD24" s="38">
        <f t="shared" si="15"/>
        <v>59.16</v>
      </c>
      <c r="AE24" s="44">
        <f t="shared" si="16"/>
        <v>33.719166666666659</v>
      </c>
      <c r="AF24" s="45"/>
    </row>
    <row r="25" spans="1:32" ht="15.75" thickBot="1" x14ac:dyDescent="0.3">
      <c r="A25" s="36" t="s">
        <v>125</v>
      </c>
      <c r="B25" s="81">
        <v>0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1.5</v>
      </c>
      <c r="J25" s="81">
        <v>0</v>
      </c>
      <c r="K25" s="81">
        <v>0</v>
      </c>
      <c r="L25" s="81">
        <v>0</v>
      </c>
      <c r="M25" s="81">
        <v>0</v>
      </c>
      <c r="N25" s="44">
        <f t="shared" si="14"/>
        <v>1.5</v>
      </c>
      <c r="O25" s="84">
        <v>0</v>
      </c>
      <c r="Q25" s="38"/>
      <c r="R25" s="36" t="s">
        <v>125</v>
      </c>
      <c r="S25" s="37">
        <f>SUM(C11:M11)+B25</f>
        <v>0</v>
      </c>
      <c r="T25" s="37">
        <f>SUM(D11:M11)+SUM(B25:C25)</f>
        <v>0</v>
      </c>
      <c r="U25" s="37">
        <f>SUM(E11:M11)+SUM(B25:D25)</f>
        <v>0</v>
      </c>
      <c r="V25" s="37">
        <f>SUM(F11:M11)+SUM(B25:E25)</f>
        <v>0</v>
      </c>
      <c r="W25" s="37">
        <f>SUM(G11:M11)+SUM(B25:F25)</f>
        <v>0</v>
      </c>
      <c r="X25" s="37">
        <f>SUM(H11:M11)+SUM(B25:G25)</f>
        <v>0</v>
      </c>
      <c r="Y25" s="37">
        <f>SUM(I11:M11)+SUM(B25:H25)</f>
        <v>0</v>
      </c>
      <c r="Z25" s="37">
        <f>SUM(J11:M11)+SUM(B25:I25)</f>
        <v>1.5</v>
      </c>
      <c r="AA25" s="37">
        <f>SUM(K11:M11)+SUM(B25:J25)</f>
        <v>1.5</v>
      </c>
      <c r="AB25" s="37">
        <f>SUM(L11:M11)+SUM(B25:K25)</f>
        <v>1.5</v>
      </c>
      <c r="AC25" s="37">
        <f>SUM(M11:M11)+SUM(B25:L25)</f>
        <v>1.5</v>
      </c>
      <c r="AD25" s="38">
        <f t="shared" si="15"/>
        <v>1.5</v>
      </c>
      <c r="AE25" s="44">
        <f t="shared" si="16"/>
        <v>0.625</v>
      </c>
      <c r="AF25" s="46"/>
    </row>
    <row r="26" spans="1:32" ht="15.75" thickBot="1" x14ac:dyDescent="0.3">
      <c r="A26" s="40" t="s">
        <v>126</v>
      </c>
      <c r="B26" s="81">
        <v>0</v>
      </c>
      <c r="C26" s="81">
        <v>0</v>
      </c>
      <c r="D26" s="81">
        <v>0</v>
      </c>
      <c r="E26" s="81">
        <v>0</v>
      </c>
      <c r="F26" s="81">
        <v>0</v>
      </c>
      <c r="G26" s="81">
        <v>0.33</v>
      </c>
      <c r="H26" s="81">
        <v>0</v>
      </c>
      <c r="I26" s="81">
        <v>1.5</v>
      </c>
      <c r="J26" s="81">
        <v>0</v>
      </c>
      <c r="K26" s="81">
        <v>0</v>
      </c>
      <c r="L26" s="81">
        <v>0</v>
      </c>
      <c r="M26" s="81">
        <v>0</v>
      </c>
      <c r="N26" s="44">
        <f t="shared" si="14"/>
        <v>1.83</v>
      </c>
      <c r="O26" s="84">
        <v>0</v>
      </c>
      <c r="Q26" s="38"/>
      <c r="R26" s="40" t="s">
        <v>126</v>
      </c>
      <c r="S26" s="37">
        <f>SUM(C12:M12)+B26</f>
        <v>2.33</v>
      </c>
      <c r="T26" s="37">
        <f>SUM(D12:M12)+SUM(B26:C26)</f>
        <v>2.33</v>
      </c>
      <c r="U26" s="37">
        <f>SUM(E12:M12)+SUM(B26:D26)</f>
        <v>2.33</v>
      </c>
      <c r="V26" s="37">
        <f>SUM(F12:M12)+SUM(B26:E26)</f>
        <v>2.33</v>
      </c>
      <c r="W26" s="37">
        <f>SUM(G12:M12)+SUM(B26:F26)</f>
        <v>1.9100000000000001</v>
      </c>
      <c r="X26" s="37">
        <f>SUM(H12:M12)+SUM(B26:G26)</f>
        <v>2.0699999999999998</v>
      </c>
      <c r="Y26" s="37">
        <f>SUM(I12:M12)+SUM(B26:H26)</f>
        <v>1.57</v>
      </c>
      <c r="Z26" s="37">
        <f>SUM(J12:M12)+SUM(B26:I26)</f>
        <v>2.99</v>
      </c>
      <c r="AA26" s="37">
        <f>SUM(K12:M12)+SUM(B26:J26)</f>
        <v>2.16</v>
      </c>
      <c r="AB26" s="38">
        <v>2</v>
      </c>
      <c r="AC26" s="37">
        <f>SUM(M12:M12)+SUM(B26:L26)</f>
        <v>1.6600000000000001</v>
      </c>
      <c r="AD26" s="38">
        <f t="shared" si="15"/>
        <v>1.83</v>
      </c>
      <c r="AE26" s="44">
        <f t="shared" si="16"/>
        <v>2.125833333333333</v>
      </c>
      <c r="AF26" s="45"/>
    </row>
    <row r="27" spans="1:32" ht="15.75" thickBot="1" x14ac:dyDescent="0.3">
      <c r="A27" s="40" t="s">
        <v>153</v>
      </c>
      <c r="B27" s="81">
        <v>316.75</v>
      </c>
      <c r="C27" s="81">
        <v>397.67</v>
      </c>
      <c r="D27" s="81">
        <v>517.66999999999996</v>
      </c>
      <c r="E27" s="81">
        <v>522.16999999999996</v>
      </c>
      <c r="F27" s="81">
        <v>606.75</v>
      </c>
      <c r="G27" s="81">
        <v>626.5</v>
      </c>
      <c r="H27" s="81">
        <v>991.42</v>
      </c>
      <c r="I27" s="81">
        <v>722.25</v>
      </c>
      <c r="J27" s="81">
        <v>688.92</v>
      </c>
      <c r="K27" s="81">
        <v>470.17</v>
      </c>
      <c r="L27" s="81">
        <v>623.25</v>
      </c>
      <c r="M27" s="81">
        <v>539.5</v>
      </c>
      <c r="N27" s="44">
        <f t="shared" si="14"/>
        <v>7023.02</v>
      </c>
      <c r="O27" s="45">
        <f t="shared" ref="O27:O28" si="17">(N27-N13)/N13</f>
        <v>1.840085408561885</v>
      </c>
      <c r="Q27" s="38"/>
      <c r="R27" s="40" t="s">
        <v>153</v>
      </c>
      <c r="S27" s="37">
        <f>SUM(C13:M13)+B27</f>
        <v>2653.32</v>
      </c>
      <c r="T27" s="37">
        <f>SUM(D13:M13)+SUM(B27:C27)</f>
        <v>2914.2400000000002</v>
      </c>
      <c r="U27" s="37">
        <f>SUM(E13:M13)+SUM(B27:D27)</f>
        <v>3284.9900000000002</v>
      </c>
      <c r="V27" s="37">
        <f>SUM(F13:M13)+SUM(B27:E27)</f>
        <v>3649.8300000000004</v>
      </c>
      <c r="W27" s="37">
        <f>SUM(G13:M13)+SUM(B27:F27)</f>
        <v>4089.5</v>
      </c>
      <c r="X27" s="37">
        <f>SUM(H13:M13)+SUM(B27:G27)</f>
        <v>4615.67</v>
      </c>
      <c r="Y27" s="37">
        <f>SUM(I13:M13)+SUM(B27:H27)</f>
        <v>5607.09</v>
      </c>
      <c r="Z27" s="37">
        <f>SUM(J13:M13)+SUM(B27:I27)</f>
        <v>6329.26</v>
      </c>
      <c r="AA27" s="37">
        <f>SUM(K13:M13)+SUM(B27:J27)</f>
        <v>7016.18</v>
      </c>
      <c r="AB27" s="38">
        <v>2</v>
      </c>
      <c r="AC27" s="37">
        <f>SUM(M13:M13)+SUM(B27:L27)</f>
        <v>7329.6</v>
      </c>
      <c r="AD27" s="38">
        <f t="shared" si="15"/>
        <v>7023.02</v>
      </c>
      <c r="AE27" s="44">
        <f t="shared" si="16"/>
        <v>4542.8916666666664</v>
      </c>
      <c r="AF27" s="45"/>
    </row>
    <row r="28" spans="1:32" ht="15.75" thickBot="1" x14ac:dyDescent="0.3">
      <c r="A28" s="40" t="s">
        <v>154</v>
      </c>
      <c r="B28" s="81">
        <v>12</v>
      </c>
      <c r="C28" s="81">
        <v>36</v>
      </c>
      <c r="D28" s="81">
        <v>21.67</v>
      </c>
      <c r="E28" s="81">
        <v>14.92</v>
      </c>
      <c r="F28" s="81">
        <v>33.5</v>
      </c>
      <c r="G28" s="81">
        <v>42</v>
      </c>
      <c r="H28" s="81">
        <v>34.17</v>
      </c>
      <c r="I28" s="81">
        <v>24.92</v>
      </c>
      <c r="J28" s="81">
        <v>27.75</v>
      </c>
      <c r="K28" s="81">
        <v>24.67</v>
      </c>
      <c r="L28" s="81">
        <v>18.25</v>
      </c>
      <c r="M28" s="81">
        <v>32.33</v>
      </c>
      <c r="N28" s="44">
        <f t="shared" si="14"/>
        <v>322.18</v>
      </c>
      <c r="O28" s="45">
        <f t="shared" si="17"/>
        <v>3.305492449552319</v>
      </c>
      <c r="Q28" s="38"/>
      <c r="R28" s="40" t="s">
        <v>154</v>
      </c>
      <c r="S28" s="37">
        <f>SUM(C14:M14)+B28</f>
        <v>78.16</v>
      </c>
      <c r="T28" s="37">
        <f>SUM(D14:M14)+SUM(B28:C28)</f>
        <v>109.99</v>
      </c>
      <c r="U28" s="37">
        <f>SUM(E14:M14)+SUM(B28:D28)</f>
        <v>123.16</v>
      </c>
      <c r="V28" s="37">
        <f>SUM(F14:M14)+SUM(B28:E28)</f>
        <v>135</v>
      </c>
      <c r="W28" s="37">
        <f>SUM(G14:M14)+SUM(B28:F28)</f>
        <v>164</v>
      </c>
      <c r="X28" s="37">
        <f>SUM(H14:M14)+SUM(B28:G28)</f>
        <v>196.75</v>
      </c>
      <c r="Y28" s="37">
        <f>SUM(I14:M14)+SUM(B28:H28)</f>
        <v>228.33999999999997</v>
      </c>
      <c r="Z28" s="37">
        <f>SUM(J14:M14)+SUM(B28:I28)</f>
        <v>248.18</v>
      </c>
      <c r="AA28" s="37">
        <f>SUM(K14:M14)+SUM(B28:J28)</f>
        <v>267.51</v>
      </c>
      <c r="AB28" s="38">
        <v>2</v>
      </c>
      <c r="AC28" s="37">
        <f>SUM(M14:M14)+SUM(B28:L28)</f>
        <v>292.35000000000002</v>
      </c>
      <c r="AD28" s="38">
        <f t="shared" si="15"/>
        <v>322.18</v>
      </c>
      <c r="AE28" s="44">
        <f t="shared" si="16"/>
        <v>180.63499999999999</v>
      </c>
      <c r="AF28" s="45"/>
    </row>
    <row r="29" spans="1:32" x14ac:dyDescent="0.25">
      <c r="A29" s="73" t="s">
        <v>11</v>
      </c>
      <c r="B29" s="76">
        <f t="shared" ref="B29:M29" si="18">SUM(B18:B26)</f>
        <v>475.84000000000003</v>
      </c>
      <c r="C29" s="76">
        <f t="shared" si="18"/>
        <v>731.25999999999988</v>
      </c>
      <c r="D29" s="76">
        <f t="shared" si="18"/>
        <v>726.58</v>
      </c>
      <c r="E29" s="76">
        <f t="shared" si="18"/>
        <v>712.25999999999988</v>
      </c>
      <c r="F29" s="76">
        <f t="shared" si="18"/>
        <v>786</v>
      </c>
      <c r="G29" s="76">
        <f t="shared" si="18"/>
        <v>769.66000000000008</v>
      </c>
      <c r="H29" s="76">
        <f t="shared" si="18"/>
        <v>1591.7399999999998</v>
      </c>
      <c r="I29" s="76">
        <f t="shared" si="18"/>
        <v>835.5</v>
      </c>
      <c r="J29" s="76">
        <f t="shared" si="18"/>
        <v>759.58</v>
      </c>
      <c r="K29" s="76">
        <f t="shared" si="18"/>
        <v>706.16000000000008</v>
      </c>
      <c r="L29" s="76">
        <f t="shared" si="18"/>
        <v>918.16000000000008</v>
      </c>
      <c r="M29" s="76">
        <f t="shared" si="18"/>
        <v>721.41000000000008</v>
      </c>
      <c r="N29" s="76">
        <f>SUM(B29:M29)</f>
        <v>9734.15</v>
      </c>
      <c r="O29" s="87">
        <f>(N29-N15)/N15</f>
        <v>0.28581543139671428</v>
      </c>
      <c r="Q29" s="38"/>
      <c r="R29" s="73" t="s">
        <v>11</v>
      </c>
      <c r="S29" s="76">
        <f t="shared" ref="S29:AD29" si="19">SUM(S18:S28)</f>
        <v>8119.75</v>
      </c>
      <c r="T29" s="76">
        <f t="shared" si="19"/>
        <v>8996.26</v>
      </c>
      <c r="U29" s="76">
        <f t="shared" si="19"/>
        <v>9932.59</v>
      </c>
      <c r="V29" s="76">
        <f t="shared" si="19"/>
        <v>10777.86</v>
      </c>
      <c r="W29" s="76">
        <f t="shared" si="19"/>
        <v>11866.11</v>
      </c>
      <c r="X29" s="76">
        <f t="shared" si="19"/>
        <v>12959.35</v>
      </c>
      <c r="Y29" s="76">
        <f t="shared" si="19"/>
        <v>15394.1</v>
      </c>
      <c r="Z29" s="76">
        <f t="shared" si="19"/>
        <v>15918.19</v>
      </c>
      <c r="AA29" s="76">
        <f t="shared" si="19"/>
        <v>17379.439999999999</v>
      </c>
      <c r="AB29" s="76">
        <f t="shared" si="19"/>
        <v>10730.42</v>
      </c>
      <c r="AC29" s="76">
        <f t="shared" si="19"/>
        <v>18694.61</v>
      </c>
      <c r="AD29" s="76">
        <f t="shared" si="19"/>
        <v>17079.349999999999</v>
      </c>
      <c r="AE29" s="85">
        <f>AVERAGE(S29:AD29)</f>
        <v>13154.002500000001</v>
      </c>
      <c r="AF29" s="77"/>
    </row>
    <row r="30" spans="1:32" x14ac:dyDescent="0.25">
      <c r="A30" s="78" t="s">
        <v>130</v>
      </c>
      <c r="B30" s="85">
        <f t="shared" ref="B30:N30" si="20">B29-B15</f>
        <v>221.59000000000006</v>
      </c>
      <c r="C30" s="85">
        <f t="shared" si="20"/>
        <v>442.83999999999986</v>
      </c>
      <c r="D30" s="85">
        <f t="shared" si="20"/>
        <v>395.99000000000007</v>
      </c>
      <c r="E30" s="85">
        <f t="shared" si="20"/>
        <v>308.17999999999989</v>
      </c>
      <c r="F30" s="85">
        <f t="shared" si="20"/>
        <v>448</v>
      </c>
      <c r="G30" s="85">
        <f t="shared" si="20"/>
        <v>424.74000000000012</v>
      </c>
      <c r="H30" s="85">
        <f t="shared" si="20"/>
        <v>1409.1599999999999</v>
      </c>
      <c r="I30" s="86">
        <f t="shared" si="20"/>
        <v>-223.07999999999993</v>
      </c>
      <c r="J30" s="85">
        <f t="shared" si="20"/>
        <v>744.58</v>
      </c>
      <c r="K30" s="85">
        <f t="shared" si="20"/>
        <v>374.25000000000006</v>
      </c>
      <c r="L30" s="86">
        <f t="shared" si="20"/>
        <v>-195.41999999999985</v>
      </c>
      <c r="M30" s="86">
        <f t="shared" si="20"/>
        <v>-2187.09</v>
      </c>
      <c r="N30" s="85">
        <f t="shared" si="20"/>
        <v>2163.7399999999998</v>
      </c>
      <c r="O30" s="77"/>
      <c r="Q30" s="38"/>
      <c r="R30" s="78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77"/>
    </row>
    <row r="31" spans="1:32" x14ac:dyDescent="0.25">
      <c r="A31" s="43"/>
      <c r="B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Q31" s="38"/>
    </row>
    <row r="32" spans="1:32" ht="43.5" thickBot="1" x14ac:dyDescent="0.3">
      <c r="A32" s="72">
        <v>2024</v>
      </c>
      <c r="B32" s="94">
        <v>45292</v>
      </c>
      <c r="C32" s="94">
        <v>45323</v>
      </c>
      <c r="D32" s="94">
        <v>45352</v>
      </c>
      <c r="E32" s="94">
        <v>45383</v>
      </c>
      <c r="F32" s="94">
        <v>45413</v>
      </c>
      <c r="G32" s="94">
        <v>45444</v>
      </c>
      <c r="H32" s="94">
        <v>45474</v>
      </c>
      <c r="I32" s="94">
        <v>45505</v>
      </c>
      <c r="J32" s="94">
        <v>45536</v>
      </c>
      <c r="K32" s="94">
        <v>45566</v>
      </c>
      <c r="L32" s="94">
        <v>45597</v>
      </c>
      <c r="M32" s="94">
        <v>45627</v>
      </c>
      <c r="N32" s="70" t="s">
        <v>123</v>
      </c>
      <c r="O32" s="70" t="s">
        <v>127</v>
      </c>
      <c r="Q32" s="38"/>
      <c r="R32" s="72" t="s">
        <v>131</v>
      </c>
      <c r="S32" s="94">
        <f>B32</f>
        <v>45292</v>
      </c>
      <c r="T32" s="94">
        <f t="shared" ref="T32:AD32" si="21">C32</f>
        <v>45323</v>
      </c>
      <c r="U32" s="94">
        <f t="shared" si="21"/>
        <v>45352</v>
      </c>
      <c r="V32" s="94">
        <f t="shared" si="21"/>
        <v>45383</v>
      </c>
      <c r="W32" s="94">
        <f t="shared" si="21"/>
        <v>45413</v>
      </c>
      <c r="X32" s="94">
        <f t="shared" si="21"/>
        <v>45444</v>
      </c>
      <c r="Y32" s="94">
        <f t="shared" si="21"/>
        <v>45474</v>
      </c>
      <c r="Z32" s="94">
        <f t="shared" si="21"/>
        <v>45505</v>
      </c>
      <c r="AA32" s="94">
        <f t="shared" si="21"/>
        <v>45536</v>
      </c>
      <c r="AB32" s="94">
        <f t="shared" si="21"/>
        <v>45566</v>
      </c>
      <c r="AC32" s="94">
        <f t="shared" si="21"/>
        <v>45597</v>
      </c>
      <c r="AD32" s="94">
        <f t="shared" si="21"/>
        <v>45627</v>
      </c>
      <c r="AE32" s="79" t="s">
        <v>128</v>
      </c>
      <c r="AF32" s="70" t="s">
        <v>127</v>
      </c>
    </row>
    <row r="33" spans="1:32" ht="15.75" thickBot="1" x14ac:dyDescent="0.3">
      <c r="A33" s="36" t="s">
        <v>146</v>
      </c>
      <c r="B33" s="81">
        <v>651.08000000000004</v>
      </c>
      <c r="C33" s="81">
        <v>679.33</v>
      </c>
      <c r="D33" s="81">
        <v>874</v>
      </c>
      <c r="E33" s="81">
        <v>863.08</v>
      </c>
      <c r="F33" s="82">
        <v>1854.33</v>
      </c>
      <c r="G33" s="81">
        <v>883.42</v>
      </c>
      <c r="H33" s="82">
        <v>1285.67</v>
      </c>
      <c r="I33" s="81">
        <v>963.08</v>
      </c>
      <c r="J33" s="81">
        <v>788.08</v>
      </c>
      <c r="K33" s="81">
        <v>905.92</v>
      </c>
      <c r="L33" s="81">
        <v>844.92</v>
      </c>
      <c r="M33" s="82">
        <v>1129.92</v>
      </c>
      <c r="N33" s="39">
        <f>SUM(B33:M33)</f>
        <v>11722.83</v>
      </c>
      <c r="O33" s="45">
        <f>(N33-N18)/N18</f>
        <v>0.35987819732034104</v>
      </c>
      <c r="Q33" s="38"/>
      <c r="R33" s="36" t="s">
        <v>146</v>
      </c>
      <c r="S33" s="37">
        <f t="shared" ref="S33:S41" si="22">SUM(C18:M18)+B33</f>
        <v>8833.16</v>
      </c>
      <c r="T33" s="37">
        <f t="shared" ref="T33:T41" si="23">SUM(D18:M18)+SUM(B33:C33)</f>
        <v>8857.74</v>
      </c>
      <c r="U33" s="37">
        <f t="shared" ref="U33:U41" si="24">SUM(E18:M18)+SUM(B33:D33)</f>
        <v>9102.66</v>
      </c>
      <c r="V33" s="37">
        <f t="shared" ref="V33:V41" si="25">SUM(F18:M18)+SUM(B33:E33)</f>
        <v>9330.07</v>
      </c>
      <c r="W33" s="37">
        <f t="shared" ref="W33:W41" si="26">SUM(G18:M18)+SUM(B33:F33)</f>
        <v>10460.57</v>
      </c>
      <c r="X33" s="37">
        <f t="shared" ref="X33:X41" si="27">SUM(H18:M18)+SUM(B33:G33)</f>
        <v>10656.99</v>
      </c>
      <c r="Y33" s="37">
        <f t="shared" ref="Y33:Y41" si="28">SUM(I18:M18)+SUM(B33:H33)</f>
        <v>10786.41</v>
      </c>
      <c r="Z33" s="37">
        <f t="shared" ref="Z33:Z41" si="29">SUM(J18:M18)+SUM(B33:I33)</f>
        <v>10970.66</v>
      </c>
      <c r="AA33" s="37">
        <f t="shared" ref="AA33:AA41" si="30">SUM(K18:M18)+SUM(B33:J33)</f>
        <v>11033.32</v>
      </c>
      <c r="AB33" s="37">
        <f t="shared" ref="AB33:AB40" si="31">SUM(L18:M18)+SUM(B33:K33)</f>
        <v>11277.66</v>
      </c>
      <c r="AC33" s="37">
        <f t="shared" ref="AC33:AC41" si="32">SUM(M18:M18)+SUM(B33:L33)</f>
        <v>11259.66</v>
      </c>
      <c r="AD33" s="38">
        <f>SUM(B33:M33)</f>
        <v>11722.83</v>
      </c>
      <c r="AE33" s="44">
        <f>AVERAGE(S33:AD33)</f>
        <v>10357.644166666669</v>
      </c>
      <c r="AF33" s="83">
        <f t="shared" ref="AF33:AF41" si="33">(AE33-AE18)/AE18</f>
        <v>0.36736231131509878</v>
      </c>
    </row>
    <row r="34" spans="1:32" ht="15.75" thickBot="1" x14ac:dyDescent="0.3">
      <c r="A34" s="40" t="s">
        <v>147</v>
      </c>
      <c r="B34" s="81">
        <v>21.25</v>
      </c>
      <c r="C34" s="81">
        <v>13.42</v>
      </c>
      <c r="D34" s="81">
        <v>13.83</v>
      </c>
      <c r="E34" s="81">
        <v>9.75</v>
      </c>
      <c r="F34" s="81">
        <v>26.33</v>
      </c>
      <c r="G34" s="81">
        <v>15.75</v>
      </c>
      <c r="H34" s="81">
        <v>14.83</v>
      </c>
      <c r="I34" s="81">
        <v>6.25</v>
      </c>
      <c r="J34" s="81">
        <v>19.829999999999998</v>
      </c>
      <c r="K34" s="81">
        <v>8.25</v>
      </c>
      <c r="L34" s="81">
        <v>7.75</v>
      </c>
      <c r="M34" s="81">
        <v>14.08</v>
      </c>
      <c r="N34" s="39">
        <f t="shared" ref="N34:N44" si="34">SUM(B34:M34)</f>
        <v>171.32000000000002</v>
      </c>
      <c r="O34" s="84">
        <v>0</v>
      </c>
      <c r="Q34" s="38"/>
      <c r="R34" s="40" t="s">
        <v>147</v>
      </c>
      <c r="S34" s="37">
        <f t="shared" si="22"/>
        <v>189.58999999999997</v>
      </c>
      <c r="T34" s="37">
        <f t="shared" si="23"/>
        <v>196.76</v>
      </c>
      <c r="U34" s="37">
        <f t="shared" si="24"/>
        <v>208.92</v>
      </c>
      <c r="V34" s="37">
        <f t="shared" si="25"/>
        <v>215.75</v>
      </c>
      <c r="W34" s="37">
        <f t="shared" si="26"/>
        <v>239</v>
      </c>
      <c r="X34" s="37">
        <f t="shared" si="27"/>
        <v>247.07999999999998</v>
      </c>
      <c r="Y34" s="37">
        <f t="shared" si="28"/>
        <v>145.82999999999998</v>
      </c>
      <c r="Z34" s="37">
        <f t="shared" si="29"/>
        <v>144.91</v>
      </c>
      <c r="AA34" s="37">
        <f t="shared" si="30"/>
        <v>161.41000000000003</v>
      </c>
      <c r="AB34" s="37">
        <f t="shared" si="31"/>
        <v>164.74</v>
      </c>
      <c r="AC34" s="37">
        <f t="shared" si="32"/>
        <v>164.32000000000002</v>
      </c>
      <c r="AD34" s="38">
        <f t="shared" ref="AD34:AD43" si="35">SUM(B34:M34)</f>
        <v>171.32000000000002</v>
      </c>
      <c r="AE34" s="44">
        <f t="shared" ref="AE34:AE43" si="36">AVERAGE(S34:AD34)</f>
        <v>187.46916666666667</v>
      </c>
      <c r="AF34" s="83">
        <f t="shared" si="33"/>
        <v>0.46273635205076863</v>
      </c>
    </row>
    <row r="35" spans="1:32" ht="15.75" thickBot="1" x14ac:dyDescent="0.3">
      <c r="A35" s="40" t="s">
        <v>148</v>
      </c>
      <c r="B35" s="81">
        <v>4.25</v>
      </c>
      <c r="C35" s="81">
        <v>22.75</v>
      </c>
      <c r="D35" s="81">
        <v>7.58</v>
      </c>
      <c r="E35" s="81">
        <v>6.75</v>
      </c>
      <c r="F35" s="81">
        <v>118.58</v>
      </c>
      <c r="G35" s="81">
        <v>14.75</v>
      </c>
      <c r="H35" s="81">
        <v>12.5</v>
      </c>
      <c r="I35" s="81">
        <v>8.17</v>
      </c>
      <c r="J35" s="81">
        <v>9.58</v>
      </c>
      <c r="K35" s="81">
        <v>4.75</v>
      </c>
      <c r="L35" s="81">
        <v>5.42</v>
      </c>
      <c r="M35" s="81">
        <v>8.5</v>
      </c>
      <c r="N35" s="39">
        <f t="shared" si="34"/>
        <v>223.57999999999998</v>
      </c>
      <c r="O35" s="83">
        <f t="shared" ref="O35:O44" si="37">(N35-N20)/N20</f>
        <v>1.2304469273743017</v>
      </c>
      <c r="Q35" s="38"/>
      <c r="R35" s="40" t="s">
        <v>148</v>
      </c>
      <c r="S35" s="37">
        <f t="shared" si="22"/>
        <v>99.24</v>
      </c>
      <c r="T35" s="37">
        <f t="shared" si="23"/>
        <v>114.24</v>
      </c>
      <c r="U35" s="37">
        <f t="shared" si="24"/>
        <v>114.24</v>
      </c>
      <c r="V35" s="37">
        <f t="shared" si="25"/>
        <v>109.49</v>
      </c>
      <c r="W35" s="37">
        <f t="shared" si="26"/>
        <v>225.57</v>
      </c>
      <c r="X35" s="37">
        <f t="shared" si="27"/>
        <v>234.82</v>
      </c>
      <c r="Y35" s="37">
        <f t="shared" si="28"/>
        <v>190.99</v>
      </c>
      <c r="Z35" s="37">
        <f t="shared" si="29"/>
        <v>197.66</v>
      </c>
      <c r="AA35" s="37">
        <f t="shared" si="30"/>
        <v>206.99</v>
      </c>
      <c r="AB35" s="37">
        <f t="shared" si="31"/>
        <v>210.74</v>
      </c>
      <c r="AC35" s="37">
        <f t="shared" si="32"/>
        <v>215.07999999999998</v>
      </c>
      <c r="AD35" s="38">
        <f t="shared" si="35"/>
        <v>223.57999999999998</v>
      </c>
      <c r="AE35" s="44">
        <f t="shared" si="36"/>
        <v>178.55333333333331</v>
      </c>
      <c r="AF35" s="88">
        <f t="shared" si="33"/>
        <v>0.24305414546699206</v>
      </c>
    </row>
    <row r="36" spans="1:32" ht="15.75" thickBot="1" x14ac:dyDescent="0.3">
      <c r="A36" s="40" t="s">
        <v>149</v>
      </c>
      <c r="B36" s="81">
        <v>7.33</v>
      </c>
      <c r="C36" s="81">
        <v>5.83</v>
      </c>
      <c r="D36" s="81">
        <v>10.42</v>
      </c>
      <c r="E36" s="81">
        <v>10.75</v>
      </c>
      <c r="F36" s="81">
        <v>14.08</v>
      </c>
      <c r="G36" s="81">
        <v>29.67</v>
      </c>
      <c r="H36" s="81">
        <v>12.25</v>
      </c>
      <c r="I36" s="81">
        <v>5.58</v>
      </c>
      <c r="J36" s="81">
        <v>4.75</v>
      </c>
      <c r="K36" s="81">
        <v>3.58</v>
      </c>
      <c r="L36" s="81">
        <v>18.170000000000002</v>
      </c>
      <c r="M36" s="81">
        <v>2.5</v>
      </c>
      <c r="N36" s="39">
        <f t="shared" si="34"/>
        <v>124.91</v>
      </c>
      <c r="O36" s="46">
        <f t="shared" si="37"/>
        <v>-0.25243880543419728</v>
      </c>
      <c r="Q36" s="38"/>
      <c r="R36" s="40" t="s">
        <v>149</v>
      </c>
      <c r="S36" s="37">
        <f t="shared" si="22"/>
        <v>158.50000000000003</v>
      </c>
      <c r="T36" s="37">
        <f t="shared" si="23"/>
        <v>142.91</v>
      </c>
      <c r="U36" s="37">
        <f t="shared" si="24"/>
        <v>130.41</v>
      </c>
      <c r="V36" s="37">
        <f t="shared" si="25"/>
        <v>132.16</v>
      </c>
      <c r="W36" s="37">
        <f t="shared" si="26"/>
        <v>121.82</v>
      </c>
      <c r="X36" s="37">
        <f t="shared" si="27"/>
        <v>122.49</v>
      </c>
      <c r="Y36" s="37">
        <f t="shared" si="28"/>
        <v>122.66</v>
      </c>
      <c r="Z36" s="37">
        <f t="shared" si="29"/>
        <v>114.99</v>
      </c>
      <c r="AA36" s="37">
        <f t="shared" si="30"/>
        <v>115.91</v>
      </c>
      <c r="AB36" s="37">
        <f t="shared" si="31"/>
        <v>114.24</v>
      </c>
      <c r="AC36" s="37">
        <f t="shared" si="32"/>
        <v>127.41</v>
      </c>
      <c r="AD36" s="38">
        <f t="shared" si="35"/>
        <v>124.91</v>
      </c>
      <c r="AE36" s="44">
        <f t="shared" si="36"/>
        <v>127.36750000000001</v>
      </c>
      <c r="AF36" s="88">
        <f t="shared" si="33"/>
        <v>0.15786882016939099</v>
      </c>
    </row>
    <row r="37" spans="1:32" ht="15.75" thickBot="1" x14ac:dyDescent="0.3">
      <c r="A37" s="40" t="s">
        <v>150</v>
      </c>
      <c r="B37" s="81">
        <v>32.25</v>
      </c>
      <c r="C37" s="81">
        <v>26.83</v>
      </c>
      <c r="D37" s="81">
        <v>29.75</v>
      </c>
      <c r="E37" s="81">
        <v>16.079999999999998</v>
      </c>
      <c r="F37" s="81">
        <v>27.83</v>
      </c>
      <c r="G37" s="81">
        <v>25.5</v>
      </c>
      <c r="H37" s="81">
        <v>86.58</v>
      </c>
      <c r="I37" s="81">
        <v>35.25</v>
      </c>
      <c r="J37" s="81">
        <v>41.08</v>
      </c>
      <c r="K37" s="81">
        <v>20.25</v>
      </c>
      <c r="L37" s="81">
        <v>44.92</v>
      </c>
      <c r="M37" s="81">
        <v>37.08</v>
      </c>
      <c r="N37" s="39">
        <f t="shared" si="34"/>
        <v>423.4</v>
      </c>
      <c r="O37" s="83">
        <f t="shared" si="37"/>
        <v>4.4787168414559007E-2</v>
      </c>
      <c r="Q37" s="38"/>
      <c r="R37" s="40" t="s">
        <v>150</v>
      </c>
      <c r="S37" s="37">
        <f t="shared" si="22"/>
        <v>430.32999999999993</v>
      </c>
      <c r="T37" s="37">
        <f t="shared" si="23"/>
        <v>431.23999999999995</v>
      </c>
      <c r="U37" s="37">
        <f t="shared" si="24"/>
        <v>427.48999999999995</v>
      </c>
      <c r="V37" s="37">
        <f t="shared" si="25"/>
        <v>424.31999999999994</v>
      </c>
      <c r="W37" s="37">
        <f t="shared" si="26"/>
        <v>430.72999999999996</v>
      </c>
      <c r="X37" s="37">
        <f t="shared" si="27"/>
        <v>429.9</v>
      </c>
      <c r="Y37" s="37">
        <f t="shared" si="28"/>
        <v>383.81</v>
      </c>
      <c r="Z37" s="37">
        <f t="shared" si="29"/>
        <v>391.73</v>
      </c>
      <c r="AA37" s="37">
        <f t="shared" si="30"/>
        <v>411.39</v>
      </c>
      <c r="AB37" s="37">
        <f t="shared" si="31"/>
        <v>409.05999999999995</v>
      </c>
      <c r="AC37" s="37">
        <f t="shared" si="32"/>
        <v>422.65</v>
      </c>
      <c r="AD37" s="38">
        <f t="shared" si="35"/>
        <v>423.4</v>
      </c>
      <c r="AE37" s="44">
        <f t="shared" si="36"/>
        <v>418.00416666666661</v>
      </c>
      <c r="AF37" s="88">
        <f t="shared" si="33"/>
        <v>0.93874238096526441</v>
      </c>
    </row>
    <row r="38" spans="1:32" ht="15.75" thickBot="1" x14ac:dyDescent="0.3">
      <c r="A38" s="36" t="s">
        <v>151</v>
      </c>
      <c r="B38" s="81">
        <v>6.92</v>
      </c>
      <c r="C38" s="81">
        <v>47.92</v>
      </c>
      <c r="D38" s="81">
        <v>22.83</v>
      </c>
      <c r="E38" s="81">
        <v>19.5</v>
      </c>
      <c r="F38" s="81">
        <v>32.25</v>
      </c>
      <c r="G38" s="81">
        <v>37.42</v>
      </c>
      <c r="H38" s="81">
        <v>23.58</v>
      </c>
      <c r="I38" s="81">
        <v>24.83</v>
      </c>
      <c r="J38" s="81">
        <v>128.58000000000001</v>
      </c>
      <c r="K38" s="81">
        <v>15.33</v>
      </c>
      <c r="L38" s="81">
        <v>18.670000000000002</v>
      </c>
      <c r="M38" s="81">
        <v>19.329999999999998</v>
      </c>
      <c r="N38" s="39">
        <f>SUM(B38:M38)</f>
        <v>397.16</v>
      </c>
      <c r="O38" s="83">
        <f t="shared" si="37"/>
        <v>0.91716547596061027</v>
      </c>
      <c r="Q38" s="38"/>
      <c r="R38" s="36" t="s">
        <v>151</v>
      </c>
      <c r="S38" s="37">
        <f t="shared" si="22"/>
        <v>208.07999999999998</v>
      </c>
      <c r="T38" s="37">
        <f t="shared" si="23"/>
        <v>240.83</v>
      </c>
      <c r="U38" s="37">
        <f t="shared" si="24"/>
        <v>231.83000000000004</v>
      </c>
      <c r="V38" s="37">
        <f t="shared" si="25"/>
        <v>217.41</v>
      </c>
      <c r="W38" s="37">
        <f t="shared" si="26"/>
        <v>238.91000000000003</v>
      </c>
      <c r="X38" s="37">
        <f t="shared" si="27"/>
        <v>262.5</v>
      </c>
      <c r="Y38" s="37">
        <f t="shared" si="28"/>
        <v>219.75</v>
      </c>
      <c r="Z38" s="37">
        <f t="shared" si="29"/>
        <v>240.16</v>
      </c>
      <c r="AA38" s="37">
        <f t="shared" si="30"/>
        <v>363.99000000000007</v>
      </c>
      <c r="AB38" s="37">
        <f t="shared" si="31"/>
        <v>370.24</v>
      </c>
      <c r="AC38" s="37">
        <f t="shared" si="32"/>
        <v>383.08000000000004</v>
      </c>
      <c r="AD38" s="38">
        <f t="shared" si="35"/>
        <v>397.16</v>
      </c>
      <c r="AE38" s="44">
        <f t="shared" si="36"/>
        <v>281.16166666666663</v>
      </c>
      <c r="AF38" s="88">
        <f t="shared" si="33"/>
        <v>0.26828883216864707</v>
      </c>
    </row>
    <row r="39" spans="1:32" ht="15.75" thickBot="1" x14ac:dyDescent="0.3">
      <c r="A39" s="36" t="s">
        <v>124</v>
      </c>
      <c r="B39" s="81">
        <v>0.57999999999999996</v>
      </c>
      <c r="C39" s="81">
        <v>3.58</v>
      </c>
      <c r="D39" s="81">
        <v>3.08</v>
      </c>
      <c r="E39" s="81">
        <v>4.83</v>
      </c>
      <c r="F39" s="81">
        <v>56.5</v>
      </c>
      <c r="G39" s="81">
        <v>18.75</v>
      </c>
      <c r="H39" s="81">
        <v>12.25</v>
      </c>
      <c r="I39" s="81">
        <v>12</v>
      </c>
      <c r="J39" s="81">
        <v>2.58</v>
      </c>
      <c r="K39" s="81">
        <v>9.17</v>
      </c>
      <c r="L39" s="81">
        <v>4.5</v>
      </c>
      <c r="M39" s="81">
        <v>6.25</v>
      </c>
      <c r="N39" s="39">
        <f t="shared" si="34"/>
        <v>134.07</v>
      </c>
      <c r="O39" s="83">
        <f t="shared" si="37"/>
        <v>1.2662271805273835</v>
      </c>
      <c r="Q39" s="38"/>
      <c r="R39" s="36" t="s">
        <v>124</v>
      </c>
      <c r="S39" s="37">
        <f t="shared" si="22"/>
        <v>59.739999999999995</v>
      </c>
      <c r="T39" s="37">
        <f t="shared" si="23"/>
        <v>63.319999999999993</v>
      </c>
      <c r="U39" s="37">
        <f t="shared" si="24"/>
        <v>66.399999999999991</v>
      </c>
      <c r="V39" s="37">
        <f t="shared" si="25"/>
        <v>71.22999999999999</v>
      </c>
      <c r="W39" s="37">
        <f t="shared" si="26"/>
        <v>127.72999999999999</v>
      </c>
      <c r="X39" s="37">
        <f t="shared" si="27"/>
        <v>146.47999999999999</v>
      </c>
      <c r="Y39" s="37">
        <f t="shared" si="28"/>
        <v>106.72999999999999</v>
      </c>
      <c r="Z39" s="37">
        <f t="shared" si="29"/>
        <v>118.72999999999999</v>
      </c>
      <c r="AA39" s="37">
        <f t="shared" si="30"/>
        <v>120.72999999999999</v>
      </c>
      <c r="AB39" s="37">
        <f t="shared" si="31"/>
        <v>128.15</v>
      </c>
      <c r="AC39" s="37">
        <f t="shared" si="32"/>
        <v>128.82</v>
      </c>
      <c r="AD39" s="38">
        <f t="shared" si="35"/>
        <v>134.07</v>
      </c>
      <c r="AE39" s="44">
        <f t="shared" si="36"/>
        <v>106.01083333333332</v>
      </c>
      <c r="AF39" s="88">
        <f t="shared" si="33"/>
        <v>2.1439339643625042</v>
      </c>
    </row>
    <row r="40" spans="1:32" x14ac:dyDescent="0.25">
      <c r="A40" s="36" t="s">
        <v>125</v>
      </c>
      <c r="B40" s="38">
        <v>0</v>
      </c>
      <c r="C40" s="38">
        <v>0</v>
      </c>
      <c r="D40" s="38">
        <v>0</v>
      </c>
      <c r="E40" s="38">
        <v>0</v>
      </c>
      <c r="F40" s="38">
        <v>0</v>
      </c>
      <c r="G40" s="38">
        <v>0</v>
      </c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7">
        <v>0</v>
      </c>
      <c r="N40" s="39">
        <f t="shared" si="34"/>
        <v>0</v>
      </c>
      <c r="O40" s="46">
        <f t="shared" si="37"/>
        <v>-1</v>
      </c>
      <c r="Q40" s="38"/>
      <c r="R40" s="91" t="s">
        <v>125</v>
      </c>
      <c r="S40" s="92">
        <f t="shared" si="22"/>
        <v>1.5</v>
      </c>
      <c r="T40" s="92">
        <f t="shared" si="23"/>
        <v>1.5</v>
      </c>
      <c r="U40" s="92">
        <f t="shared" si="24"/>
        <v>1.5</v>
      </c>
      <c r="V40" s="92">
        <f t="shared" si="25"/>
        <v>1.5</v>
      </c>
      <c r="W40" s="92">
        <f t="shared" si="26"/>
        <v>1.5</v>
      </c>
      <c r="X40" s="92">
        <f t="shared" si="27"/>
        <v>1.5</v>
      </c>
      <c r="Y40" s="92">
        <f t="shared" si="28"/>
        <v>1.5</v>
      </c>
      <c r="Z40" s="92">
        <f t="shared" si="29"/>
        <v>0</v>
      </c>
      <c r="AA40" s="92">
        <f t="shared" si="30"/>
        <v>0</v>
      </c>
      <c r="AB40" s="92">
        <f t="shared" si="31"/>
        <v>0</v>
      </c>
      <c r="AC40" s="92">
        <f t="shared" si="32"/>
        <v>0</v>
      </c>
      <c r="AD40" s="92">
        <f t="shared" si="35"/>
        <v>0</v>
      </c>
      <c r="AE40" s="93">
        <f t="shared" si="36"/>
        <v>0.875</v>
      </c>
      <c r="AF40" s="55">
        <f t="shared" si="33"/>
        <v>0.4</v>
      </c>
    </row>
    <row r="41" spans="1:32" ht="15.75" thickBot="1" x14ac:dyDescent="0.3">
      <c r="A41" s="40" t="s">
        <v>126</v>
      </c>
      <c r="B41" s="38">
        <v>0</v>
      </c>
      <c r="C41" s="38">
        <v>0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7">
        <v>0</v>
      </c>
      <c r="N41" s="39">
        <f t="shared" si="34"/>
        <v>0</v>
      </c>
      <c r="O41" s="46">
        <f t="shared" si="37"/>
        <v>-1</v>
      </c>
      <c r="Q41" s="38"/>
      <c r="R41" s="40" t="s">
        <v>126</v>
      </c>
      <c r="S41" s="37">
        <f t="shared" si="22"/>
        <v>1.83</v>
      </c>
      <c r="T41" s="37">
        <f t="shared" si="23"/>
        <v>1.83</v>
      </c>
      <c r="U41" s="37">
        <f t="shared" si="24"/>
        <v>1.83</v>
      </c>
      <c r="V41" s="37">
        <f t="shared" si="25"/>
        <v>1.83</v>
      </c>
      <c r="W41" s="37">
        <f t="shared" si="26"/>
        <v>1.83</v>
      </c>
      <c r="X41" s="37">
        <f t="shared" si="27"/>
        <v>1.5</v>
      </c>
      <c r="Y41" s="37">
        <f t="shared" si="28"/>
        <v>1.5</v>
      </c>
      <c r="Z41" s="37">
        <f t="shared" si="29"/>
        <v>0</v>
      </c>
      <c r="AA41" s="37">
        <f t="shared" si="30"/>
        <v>0</v>
      </c>
      <c r="AB41" s="38">
        <v>2</v>
      </c>
      <c r="AC41" s="37">
        <f t="shared" si="32"/>
        <v>0</v>
      </c>
      <c r="AD41" s="38">
        <f t="shared" si="35"/>
        <v>0</v>
      </c>
      <c r="AE41" s="44">
        <f t="shared" si="36"/>
        <v>1.1791666666666667</v>
      </c>
      <c r="AF41" s="54">
        <f t="shared" si="33"/>
        <v>-0.44531556252450011</v>
      </c>
    </row>
    <row r="42" spans="1:32" ht="15.75" thickBot="1" x14ac:dyDescent="0.3">
      <c r="A42" s="40" t="s">
        <v>153</v>
      </c>
      <c r="B42" s="81">
        <v>393.25</v>
      </c>
      <c r="C42" s="81">
        <v>536</v>
      </c>
      <c r="D42" s="81">
        <v>575.25</v>
      </c>
      <c r="E42" s="81">
        <v>636.25</v>
      </c>
      <c r="F42" s="81">
        <v>831.83</v>
      </c>
      <c r="G42" s="81">
        <v>629.41999999999996</v>
      </c>
      <c r="H42" s="82">
        <v>1394.67</v>
      </c>
      <c r="I42" s="81">
        <v>756</v>
      </c>
      <c r="J42" s="82">
        <v>1092.67</v>
      </c>
      <c r="K42" s="81">
        <v>700.67</v>
      </c>
      <c r="L42" s="81">
        <v>665.67</v>
      </c>
      <c r="M42" s="81">
        <v>646.5</v>
      </c>
      <c r="N42" s="39">
        <f t="shared" si="34"/>
        <v>8858.18</v>
      </c>
      <c r="O42" s="83">
        <f t="shared" si="37"/>
        <v>0.26130638955890767</v>
      </c>
      <c r="Q42" s="38"/>
      <c r="R42" s="40" t="s">
        <v>153</v>
      </c>
      <c r="S42" s="37">
        <f t="shared" ref="S42:S43" si="38">SUM(C27:M27)+B42</f>
        <v>7099.52</v>
      </c>
      <c r="T42" s="37">
        <f t="shared" ref="T42:T43" si="39">SUM(D27:M27)+SUM(B42:C42)</f>
        <v>7237.85</v>
      </c>
      <c r="U42" s="37">
        <f t="shared" ref="U42:U43" si="40">SUM(E27:M27)+SUM(B42:D42)</f>
        <v>7295.43</v>
      </c>
      <c r="V42" s="37">
        <f t="shared" ref="V42:V43" si="41">SUM(F27:M27)+SUM(B42:E42)</f>
        <v>7409.51</v>
      </c>
      <c r="W42" s="37">
        <f t="shared" ref="W42:W43" si="42">SUM(G27:M27)+SUM(B42:F42)</f>
        <v>7634.59</v>
      </c>
      <c r="X42" s="37">
        <f t="shared" ref="X42:X43" si="43">SUM(H27:M27)+SUM(B42:G42)</f>
        <v>7637.51</v>
      </c>
      <c r="Y42" s="37">
        <f t="shared" ref="Y42:Y43" si="44">SUM(I27:M27)+SUM(B42:H42)</f>
        <v>8040.76</v>
      </c>
      <c r="Z42" s="37">
        <f t="shared" ref="Z42" si="45">SUM(J27:M27)+SUM(B42:I42)</f>
        <v>8074.51</v>
      </c>
      <c r="AA42" s="37">
        <f t="shared" ref="AA42:AA43" si="46">SUM(K27:M27)+SUM(B42:J42)</f>
        <v>8478.26</v>
      </c>
      <c r="AB42" s="37">
        <f>SUM(L27:M27)+SUM(B42:K42)</f>
        <v>8708.76</v>
      </c>
      <c r="AC42" s="37">
        <f t="shared" ref="AC42:AC43" si="47">SUM(M27:M27)+SUM(B42:L42)</f>
        <v>8751.18</v>
      </c>
      <c r="AD42" s="38">
        <f t="shared" si="35"/>
        <v>8858.18</v>
      </c>
      <c r="AE42" s="44">
        <f t="shared" si="36"/>
        <v>7935.5050000000001</v>
      </c>
      <c r="AF42" s="88">
        <f t="shared" ref="AF42:AF43" si="48">(AE42-AE27)/AE27</f>
        <v>0.74679600181235528</v>
      </c>
    </row>
    <row r="43" spans="1:32" ht="15.75" thickBot="1" x14ac:dyDescent="0.3">
      <c r="A43" s="40" t="s">
        <v>154</v>
      </c>
      <c r="B43" s="81">
        <v>18.170000000000002</v>
      </c>
      <c r="C43" s="81">
        <v>62.67</v>
      </c>
      <c r="D43" s="81">
        <v>41.33</v>
      </c>
      <c r="E43" s="81">
        <v>26</v>
      </c>
      <c r="F43" s="81">
        <v>30.58</v>
      </c>
      <c r="G43" s="81">
        <v>35.67</v>
      </c>
      <c r="H43" s="81">
        <v>155.41999999999999</v>
      </c>
      <c r="I43" s="81">
        <v>32.58</v>
      </c>
      <c r="J43" s="81">
        <v>28.83</v>
      </c>
      <c r="K43" s="81">
        <v>33.25</v>
      </c>
      <c r="L43" s="81">
        <v>34.25</v>
      </c>
      <c r="M43" s="81">
        <v>34.92</v>
      </c>
      <c r="N43" s="39">
        <f t="shared" si="34"/>
        <v>533.66999999999996</v>
      </c>
      <c r="O43" s="83">
        <f t="shared" si="37"/>
        <v>0.65643429138990605</v>
      </c>
      <c r="Q43" s="38"/>
      <c r="R43" s="40" t="s">
        <v>154</v>
      </c>
      <c r="S43" s="37">
        <f t="shared" si="38"/>
        <v>328.35</v>
      </c>
      <c r="T43" s="37">
        <f t="shared" si="39"/>
        <v>355.02</v>
      </c>
      <c r="U43" s="37">
        <f t="shared" si="40"/>
        <v>374.68</v>
      </c>
      <c r="V43" s="37">
        <f t="shared" si="41"/>
        <v>385.76</v>
      </c>
      <c r="W43" s="37">
        <f t="shared" si="42"/>
        <v>382.84</v>
      </c>
      <c r="X43" s="37">
        <f t="shared" si="43"/>
        <v>376.51</v>
      </c>
      <c r="Y43" s="37">
        <f t="shared" si="44"/>
        <v>497.76000000000005</v>
      </c>
      <c r="Z43" s="37">
        <f>SUM(J28:M28)+SUM(B43:I43)</f>
        <v>505.42</v>
      </c>
      <c r="AA43" s="37">
        <f t="shared" si="46"/>
        <v>506.5</v>
      </c>
      <c r="AB43" s="37">
        <f>SUM(L28:M28)+SUM(B43:K43)</f>
        <v>515.08000000000004</v>
      </c>
      <c r="AC43" s="37">
        <f t="shared" si="47"/>
        <v>531.08000000000004</v>
      </c>
      <c r="AD43" s="38">
        <f t="shared" si="35"/>
        <v>533.66999999999996</v>
      </c>
      <c r="AE43" s="44">
        <f t="shared" si="36"/>
        <v>441.05583333333334</v>
      </c>
      <c r="AF43" s="88">
        <f t="shared" si="48"/>
        <v>1.4416964228047353</v>
      </c>
    </row>
    <row r="44" spans="1:32" x14ac:dyDescent="0.25">
      <c r="A44" s="73" t="s">
        <v>11</v>
      </c>
      <c r="B44" s="76">
        <f t="shared" ref="B44:L44" si="49">SUM(B33:B43)</f>
        <v>1135.0800000000002</v>
      </c>
      <c r="C44" s="76">
        <f t="shared" si="49"/>
        <v>1398.3300000000002</v>
      </c>
      <c r="D44" s="76">
        <f t="shared" si="49"/>
        <v>1578.0700000000002</v>
      </c>
      <c r="E44" s="76">
        <f t="shared" si="49"/>
        <v>1592.9900000000002</v>
      </c>
      <c r="F44" s="76">
        <f t="shared" si="49"/>
        <v>2992.3099999999995</v>
      </c>
      <c r="G44" s="76">
        <f t="shared" si="49"/>
        <v>1690.35</v>
      </c>
      <c r="H44" s="76">
        <f t="shared" si="49"/>
        <v>2997.75</v>
      </c>
      <c r="I44" s="76">
        <f t="shared" si="49"/>
        <v>1843.74</v>
      </c>
      <c r="J44" s="76">
        <f t="shared" si="49"/>
        <v>2115.9800000000005</v>
      </c>
      <c r="K44" s="76">
        <f t="shared" si="49"/>
        <v>1701.17</v>
      </c>
      <c r="L44" s="76">
        <f t="shared" si="49"/>
        <v>1644.2699999999998</v>
      </c>
      <c r="M44" s="76">
        <f>SUM(M33:M43)</f>
        <v>1899.08</v>
      </c>
      <c r="N44" s="85">
        <f t="shared" si="34"/>
        <v>22589.120000000003</v>
      </c>
      <c r="O44" s="87">
        <f t="shared" si="37"/>
        <v>1.3206052916792943</v>
      </c>
      <c r="R44" s="73" t="s">
        <v>11</v>
      </c>
      <c r="S44" s="76">
        <f t="shared" ref="S44:AC44" si="50">SUM(S33:S43)</f>
        <v>17409.839999999997</v>
      </c>
      <c r="T44" s="76">
        <f t="shared" si="50"/>
        <v>17643.240000000002</v>
      </c>
      <c r="U44" s="76">
        <f t="shared" si="50"/>
        <v>17955.39</v>
      </c>
      <c r="V44" s="76">
        <f t="shared" si="50"/>
        <v>18299.029999999995</v>
      </c>
      <c r="W44" s="76">
        <f t="shared" si="50"/>
        <v>19865.09</v>
      </c>
      <c r="X44" s="76">
        <f t="shared" si="50"/>
        <v>20117.279999999995</v>
      </c>
      <c r="Y44" s="76">
        <f t="shared" si="50"/>
        <v>20497.699999999997</v>
      </c>
      <c r="Z44" s="76">
        <f t="shared" si="50"/>
        <v>20758.769999999997</v>
      </c>
      <c r="AA44" s="76">
        <f t="shared" si="50"/>
        <v>21398.5</v>
      </c>
      <c r="AB44" s="76">
        <f t="shared" si="50"/>
        <v>21900.67</v>
      </c>
      <c r="AC44" s="76">
        <f t="shared" si="50"/>
        <v>21983.279999999999</v>
      </c>
      <c r="AD44" s="76">
        <f>SUM(AD33:AD43)</f>
        <v>22589.119999999995</v>
      </c>
      <c r="AE44" s="85">
        <f t="shared" ref="AE44" si="51">AVERAGE(S44:AD44)</f>
        <v>20034.825833333332</v>
      </c>
      <c r="AF44" s="80"/>
    </row>
    <row r="45" spans="1:32" x14ac:dyDescent="0.25">
      <c r="A45" s="78" t="s">
        <v>130</v>
      </c>
      <c r="B45" s="85">
        <f t="shared" ref="B45:N45" si="52">B44-B29</f>
        <v>659.24000000000012</v>
      </c>
      <c r="C45" s="85">
        <f t="shared" si="52"/>
        <v>667.07000000000028</v>
      </c>
      <c r="D45" s="85">
        <f t="shared" si="52"/>
        <v>851.49000000000012</v>
      </c>
      <c r="E45" s="85">
        <f t="shared" si="52"/>
        <v>880.73000000000036</v>
      </c>
      <c r="F45" s="85">
        <f t="shared" si="52"/>
        <v>2206.3099999999995</v>
      </c>
      <c r="G45" s="85">
        <f t="shared" si="52"/>
        <v>920.68999999999983</v>
      </c>
      <c r="H45" s="85">
        <f t="shared" si="52"/>
        <v>1406.0100000000002</v>
      </c>
      <c r="I45" s="85">
        <f t="shared" si="52"/>
        <v>1008.24</v>
      </c>
      <c r="J45" s="85">
        <f t="shared" si="52"/>
        <v>1356.4000000000005</v>
      </c>
      <c r="K45" s="85">
        <f t="shared" si="52"/>
        <v>995.01</v>
      </c>
      <c r="L45" s="85">
        <f t="shared" si="52"/>
        <v>726.10999999999967</v>
      </c>
      <c r="M45" s="85">
        <f t="shared" si="52"/>
        <v>1177.6699999999998</v>
      </c>
      <c r="N45" s="85">
        <f t="shared" si="52"/>
        <v>12854.970000000003</v>
      </c>
      <c r="O45" s="87"/>
      <c r="R45" s="78" t="s">
        <v>130</v>
      </c>
      <c r="S45" s="85">
        <f t="shared" ref="S45:AD45" si="53">S44-S29</f>
        <v>9290.0899999999965</v>
      </c>
      <c r="T45" s="85">
        <f t="shared" si="53"/>
        <v>8646.9800000000014</v>
      </c>
      <c r="U45" s="85">
        <f t="shared" si="53"/>
        <v>8022.7999999999993</v>
      </c>
      <c r="V45" s="85">
        <f t="shared" si="53"/>
        <v>7521.1699999999946</v>
      </c>
      <c r="W45" s="85">
        <f t="shared" si="53"/>
        <v>7998.98</v>
      </c>
      <c r="X45" s="85">
        <f t="shared" si="53"/>
        <v>7157.9299999999948</v>
      </c>
      <c r="Y45" s="85">
        <f t="shared" si="53"/>
        <v>5103.5999999999967</v>
      </c>
      <c r="Z45" s="85">
        <f t="shared" si="53"/>
        <v>4840.5799999999963</v>
      </c>
      <c r="AA45" s="85">
        <f t="shared" si="53"/>
        <v>4019.0600000000013</v>
      </c>
      <c r="AB45" s="85">
        <f t="shared" si="53"/>
        <v>11170.249999999998</v>
      </c>
      <c r="AC45" s="85">
        <f t="shared" si="53"/>
        <v>3288.6699999999983</v>
      </c>
      <c r="AD45" s="85">
        <f t="shared" si="53"/>
        <v>5509.7699999999968</v>
      </c>
      <c r="AE45" s="85">
        <f>AVERAGE(S45:AD45)</f>
        <v>6880.823333333331</v>
      </c>
      <c r="AF45" s="80"/>
    </row>
    <row r="47" spans="1:32" ht="43.5" thickBot="1" x14ac:dyDescent="0.3">
      <c r="A47" s="72">
        <v>2025</v>
      </c>
      <c r="B47" s="94">
        <v>45658</v>
      </c>
      <c r="C47" s="95">
        <v>45689</v>
      </c>
      <c r="D47" s="94">
        <v>45717</v>
      </c>
      <c r="E47" s="94">
        <v>45748</v>
      </c>
      <c r="F47" s="94">
        <v>45778</v>
      </c>
      <c r="G47" s="94">
        <v>45809</v>
      </c>
      <c r="H47" s="94">
        <v>45839</v>
      </c>
      <c r="I47" s="94">
        <v>45870</v>
      </c>
      <c r="J47" s="94">
        <v>45901</v>
      </c>
      <c r="K47" s="94">
        <v>45931</v>
      </c>
      <c r="L47" s="94">
        <v>45962</v>
      </c>
      <c r="M47" s="94">
        <v>45992</v>
      </c>
      <c r="N47" s="70" t="s">
        <v>123</v>
      </c>
      <c r="O47" s="70" t="s">
        <v>127</v>
      </c>
      <c r="R47" s="72" t="s">
        <v>144</v>
      </c>
      <c r="S47" s="94">
        <f>B47</f>
        <v>45658</v>
      </c>
      <c r="T47" s="95">
        <f t="shared" ref="T47:AD47" si="54">C47</f>
        <v>45689</v>
      </c>
      <c r="U47" s="94">
        <f t="shared" si="54"/>
        <v>45717</v>
      </c>
      <c r="V47" s="94">
        <f t="shared" si="54"/>
        <v>45748</v>
      </c>
      <c r="W47" s="94">
        <f t="shared" si="54"/>
        <v>45778</v>
      </c>
      <c r="X47" s="94">
        <f t="shared" si="54"/>
        <v>45809</v>
      </c>
      <c r="Y47" s="94">
        <f t="shared" si="54"/>
        <v>45839</v>
      </c>
      <c r="Z47" s="94">
        <f t="shared" si="54"/>
        <v>45870</v>
      </c>
      <c r="AA47" s="94">
        <f t="shared" si="54"/>
        <v>45901</v>
      </c>
      <c r="AB47" s="94">
        <f t="shared" si="54"/>
        <v>45931</v>
      </c>
      <c r="AC47" s="94">
        <f t="shared" si="54"/>
        <v>45962</v>
      </c>
      <c r="AD47" s="94">
        <f t="shared" si="54"/>
        <v>45992</v>
      </c>
      <c r="AE47" s="79" t="s">
        <v>128</v>
      </c>
      <c r="AF47" s="70" t="s">
        <v>127</v>
      </c>
    </row>
    <row r="48" spans="1:32" ht="15.75" thickBot="1" x14ac:dyDescent="0.3">
      <c r="A48" s="36" t="s">
        <v>146</v>
      </c>
      <c r="B48" s="82">
        <v>1720.67</v>
      </c>
      <c r="C48" s="81">
        <v>856.08</v>
      </c>
      <c r="D48" s="81"/>
      <c r="E48" s="81"/>
      <c r="F48" s="82"/>
      <c r="G48" s="81"/>
      <c r="H48" s="82"/>
      <c r="I48" s="81"/>
      <c r="J48" s="81"/>
      <c r="K48" s="81"/>
      <c r="L48" s="81"/>
      <c r="M48" s="82"/>
      <c r="N48" s="39">
        <f>SUM(B48:M48)</f>
        <v>2576.75</v>
      </c>
      <c r="O48" s="45">
        <f>(N48-N33)/N33</f>
        <v>-0.78019386103867405</v>
      </c>
      <c r="R48" s="36" t="s">
        <v>146</v>
      </c>
      <c r="S48" s="37">
        <f t="shared" ref="S48:S56" si="55">SUM(C33:M33)+B48</f>
        <v>12792.42</v>
      </c>
      <c r="T48" s="37">
        <f t="shared" ref="T48:T56" si="56">SUM(D33:M33)+SUM(B48:C48)</f>
        <v>12969.17</v>
      </c>
      <c r="U48" s="96">
        <f t="shared" ref="U48:U56" si="57">SUM(E33:M33)+SUM(B48:D48)</f>
        <v>12095.17</v>
      </c>
      <c r="V48" s="96">
        <f t="shared" ref="V48:V56" si="58">SUM(F33:M33)+SUM(B48:E48)</f>
        <v>11232.09</v>
      </c>
      <c r="W48" s="96">
        <f t="shared" ref="W48:W56" si="59">SUM(G33:M33)+SUM(B48:F48)</f>
        <v>9377.76</v>
      </c>
      <c r="X48" s="96">
        <f t="shared" ref="X48:X56" si="60">SUM(H33:M33)+SUM(B48:G48)</f>
        <v>8494.34</v>
      </c>
      <c r="Y48" s="96">
        <f t="shared" ref="Y48:Y56" si="61">SUM(I33:M33)+SUM(B48:H48)</f>
        <v>7208.67</v>
      </c>
      <c r="Z48" s="96">
        <f t="shared" ref="Z48:Z56" si="62">SUM(J33:M33)+SUM(B48:I48)</f>
        <v>6245.59</v>
      </c>
      <c r="AA48" s="96">
        <f t="shared" ref="AA48:AA56" si="63">SUM(K33:M33)+SUM(B48:J48)</f>
        <v>5457.51</v>
      </c>
      <c r="AB48" s="96">
        <f t="shared" ref="AB48:AB55" si="64">SUM(L33:M33)+SUM(B48:K48)</f>
        <v>4551.59</v>
      </c>
      <c r="AC48" s="96">
        <f t="shared" ref="AC48:AC56" si="65">SUM(M33:M33)+SUM(B48:L48)</f>
        <v>3706.67</v>
      </c>
      <c r="AD48" s="96">
        <f>SUM(B48:M48)</f>
        <v>2576.75</v>
      </c>
      <c r="AE48" s="97">
        <f>AVERAGE(S48:AD48)</f>
        <v>8058.9775</v>
      </c>
      <c r="AF48" s="89">
        <f t="shared" ref="AF48:AF56" si="66">(AE48-AE33)/AE33</f>
        <v>-0.2219294879876563</v>
      </c>
    </row>
    <row r="49" spans="1:32" ht="15.75" thickBot="1" x14ac:dyDescent="0.3">
      <c r="A49" s="40" t="s">
        <v>147</v>
      </c>
      <c r="B49" s="81">
        <v>4</v>
      </c>
      <c r="C49" s="81">
        <v>10.08</v>
      </c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39">
        <f t="shared" ref="N49:N52" si="67">SUM(B49:M49)</f>
        <v>14.08</v>
      </c>
      <c r="O49" s="84">
        <v>0</v>
      </c>
      <c r="R49" s="40" t="s">
        <v>147</v>
      </c>
      <c r="S49" s="37">
        <f t="shared" si="55"/>
        <v>154.07000000000002</v>
      </c>
      <c r="T49" s="37">
        <f t="shared" si="56"/>
        <v>150.73000000000002</v>
      </c>
      <c r="U49" s="96">
        <f t="shared" si="57"/>
        <v>136.9</v>
      </c>
      <c r="V49" s="96">
        <f t="shared" si="58"/>
        <v>127.14999999999999</v>
      </c>
      <c r="W49" s="96">
        <f t="shared" si="59"/>
        <v>100.82</v>
      </c>
      <c r="X49" s="96">
        <f t="shared" si="60"/>
        <v>85.07</v>
      </c>
      <c r="Y49" s="96">
        <f t="shared" si="61"/>
        <v>70.239999999999995</v>
      </c>
      <c r="Z49" s="96">
        <f t="shared" si="62"/>
        <v>63.989999999999995</v>
      </c>
      <c r="AA49" s="96">
        <f t="shared" si="63"/>
        <v>44.16</v>
      </c>
      <c r="AB49" s="96">
        <f t="shared" si="64"/>
        <v>35.909999999999997</v>
      </c>
      <c r="AC49" s="96">
        <f t="shared" si="65"/>
        <v>28.16</v>
      </c>
      <c r="AD49" s="96">
        <f t="shared" ref="AD49:AD56" si="68">SUM(B49:M49)</f>
        <v>14.08</v>
      </c>
      <c r="AE49" s="97">
        <f t="shared" ref="AE49:AE59" si="69">AVERAGE(S49:AD49)</f>
        <v>84.273333333333326</v>
      </c>
      <c r="AF49" s="89">
        <f t="shared" si="66"/>
        <v>-0.55046829923142926</v>
      </c>
    </row>
    <row r="50" spans="1:32" ht="15.75" thickBot="1" x14ac:dyDescent="0.3">
      <c r="A50" s="40" t="s">
        <v>148</v>
      </c>
      <c r="B50" s="81">
        <v>8.58</v>
      </c>
      <c r="C50" s="81">
        <v>5.92</v>
      </c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39">
        <f t="shared" si="67"/>
        <v>14.5</v>
      </c>
      <c r="O50" s="83">
        <f t="shared" ref="O50:O59" si="70">(N50-N35)/N35</f>
        <v>-0.93514625637355753</v>
      </c>
      <c r="R50" s="40" t="s">
        <v>148</v>
      </c>
      <c r="S50" s="37">
        <f t="shared" si="55"/>
        <v>227.91</v>
      </c>
      <c r="T50" s="37">
        <f t="shared" si="56"/>
        <v>211.07999999999998</v>
      </c>
      <c r="U50" s="96">
        <f t="shared" si="57"/>
        <v>203.49999999999997</v>
      </c>
      <c r="V50" s="96">
        <f t="shared" si="58"/>
        <v>196.74999999999997</v>
      </c>
      <c r="W50" s="96">
        <f t="shared" si="59"/>
        <v>78.17</v>
      </c>
      <c r="X50" s="96">
        <f t="shared" si="60"/>
        <v>63.42</v>
      </c>
      <c r="Y50" s="96">
        <f t="shared" si="61"/>
        <v>50.92</v>
      </c>
      <c r="Z50" s="96">
        <f t="shared" si="62"/>
        <v>42.75</v>
      </c>
      <c r="AA50" s="96">
        <f t="shared" si="63"/>
        <v>33.17</v>
      </c>
      <c r="AB50" s="96">
        <f t="shared" si="64"/>
        <v>28.42</v>
      </c>
      <c r="AC50" s="96">
        <f t="shared" si="65"/>
        <v>23</v>
      </c>
      <c r="AD50" s="96">
        <f t="shared" si="68"/>
        <v>14.5</v>
      </c>
      <c r="AE50" s="97">
        <f t="shared" si="69"/>
        <v>97.799166666666679</v>
      </c>
      <c r="AF50" s="90">
        <f t="shared" si="66"/>
        <v>-0.45226916327521177</v>
      </c>
    </row>
    <row r="51" spans="1:32" ht="15.75" thickBot="1" x14ac:dyDescent="0.3">
      <c r="A51" s="40" t="s">
        <v>149</v>
      </c>
      <c r="B51" s="81">
        <v>5</v>
      </c>
      <c r="C51" s="81">
        <v>4.92</v>
      </c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39">
        <f t="shared" si="67"/>
        <v>9.92</v>
      </c>
      <c r="O51" s="46">
        <f t="shared" si="70"/>
        <v>-0.92058281963013366</v>
      </c>
      <c r="R51" s="40" t="s">
        <v>149</v>
      </c>
      <c r="S51" s="37">
        <f t="shared" si="55"/>
        <v>122.58</v>
      </c>
      <c r="T51" s="37">
        <f t="shared" si="56"/>
        <v>121.67</v>
      </c>
      <c r="U51" s="96">
        <f t="shared" si="57"/>
        <v>111.25</v>
      </c>
      <c r="V51" s="96">
        <f t="shared" si="58"/>
        <v>100.5</v>
      </c>
      <c r="W51" s="96">
        <f t="shared" si="59"/>
        <v>86.42</v>
      </c>
      <c r="X51" s="96">
        <f t="shared" si="60"/>
        <v>56.75</v>
      </c>
      <c r="Y51" s="96">
        <f t="shared" si="61"/>
        <v>44.5</v>
      </c>
      <c r="Z51" s="96">
        <f t="shared" si="62"/>
        <v>38.92</v>
      </c>
      <c r="AA51" s="96">
        <f t="shared" si="63"/>
        <v>34.17</v>
      </c>
      <c r="AB51" s="96">
        <f t="shared" si="64"/>
        <v>30.590000000000003</v>
      </c>
      <c r="AC51" s="96">
        <f t="shared" si="65"/>
        <v>12.42</v>
      </c>
      <c r="AD51" s="96">
        <f t="shared" si="68"/>
        <v>9.92</v>
      </c>
      <c r="AE51" s="97">
        <f t="shared" si="69"/>
        <v>64.140833333333319</v>
      </c>
      <c r="AF51" s="90">
        <f t="shared" si="66"/>
        <v>-0.49641130324978261</v>
      </c>
    </row>
    <row r="52" spans="1:32" ht="15.75" thickBot="1" x14ac:dyDescent="0.3">
      <c r="A52" s="40" t="s">
        <v>150</v>
      </c>
      <c r="B52" s="81">
        <v>19.579999999999998</v>
      </c>
      <c r="C52" s="81">
        <v>19.920000000000002</v>
      </c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39">
        <f t="shared" si="67"/>
        <v>39.5</v>
      </c>
      <c r="O52" s="83">
        <f t="shared" si="70"/>
        <v>-0.90670760510155879</v>
      </c>
      <c r="R52" s="40" t="s">
        <v>150</v>
      </c>
      <c r="S52" s="37">
        <f t="shared" si="55"/>
        <v>410.72999999999996</v>
      </c>
      <c r="T52" s="37">
        <f t="shared" si="56"/>
        <v>403.82</v>
      </c>
      <c r="U52" s="96">
        <f t="shared" si="57"/>
        <v>374.07</v>
      </c>
      <c r="V52" s="96">
        <f t="shared" si="58"/>
        <v>357.99</v>
      </c>
      <c r="W52" s="96">
        <f t="shared" si="59"/>
        <v>330.15999999999997</v>
      </c>
      <c r="X52" s="96">
        <f t="shared" si="60"/>
        <v>304.65999999999997</v>
      </c>
      <c r="Y52" s="96">
        <f t="shared" si="61"/>
        <v>218.07999999999998</v>
      </c>
      <c r="Z52" s="96">
        <f t="shared" si="62"/>
        <v>182.82999999999998</v>
      </c>
      <c r="AA52" s="96">
        <f t="shared" si="63"/>
        <v>141.75</v>
      </c>
      <c r="AB52" s="96">
        <f t="shared" si="64"/>
        <v>121.5</v>
      </c>
      <c r="AC52" s="96">
        <f t="shared" si="65"/>
        <v>76.58</v>
      </c>
      <c r="AD52" s="96">
        <f t="shared" si="68"/>
        <v>39.5</v>
      </c>
      <c r="AE52" s="97">
        <f t="shared" si="69"/>
        <v>246.80583333333331</v>
      </c>
      <c r="AF52" s="90">
        <f t="shared" si="66"/>
        <v>-0.40956130820067582</v>
      </c>
    </row>
    <row r="53" spans="1:32" ht="15.75" thickBot="1" x14ac:dyDescent="0.3">
      <c r="A53" s="36" t="s">
        <v>151</v>
      </c>
      <c r="B53" s="81">
        <v>14.17</v>
      </c>
      <c r="C53" s="81">
        <v>19.920000000000002</v>
      </c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39">
        <f>SUM(B53:M53)</f>
        <v>34.090000000000003</v>
      </c>
      <c r="O53" s="83">
        <f t="shared" si="70"/>
        <v>-0.91416557558666545</v>
      </c>
      <c r="R53" s="36" t="s">
        <v>151</v>
      </c>
      <c r="S53" s="37">
        <f t="shared" si="55"/>
        <v>404.40999999999997</v>
      </c>
      <c r="T53" s="37">
        <f t="shared" si="56"/>
        <v>376.40999999999997</v>
      </c>
      <c r="U53" s="96">
        <f t="shared" si="57"/>
        <v>353.57999999999993</v>
      </c>
      <c r="V53" s="96">
        <f t="shared" si="58"/>
        <v>334.08000000000004</v>
      </c>
      <c r="W53" s="96">
        <f t="shared" si="59"/>
        <v>301.83000000000004</v>
      </c>
      <c r="X53" s="96">
        <f t="shared" si="60"/>
        <v>264.40999999999997</v>
      </c>
      <c r="Y53" s="96">
        <f t="shared" si="61"/>
        <v>240.83</v>
      </c>
      <c r="Z53" s="96">
        <f t="shared" si="62"/>
        <v>216.00000000000003</v>
      </c>
      <c r="AA53" s="96">
        <f t="shared" si="63"/>
        <v>87.42</v>
      </c>
      <c r="AB53" s="96">
        <f t="shared" si="64"/>
        <v>72.09</v>
      </c>
      <c r="AC53" s="96">
        <f t="shared" si="65"/>
        <v>53.42</v>
      </c>
      <c r="AD53" s="96">
        <f t="shared" si="68"/>
        <v>34.090000000000003</v>
      </c>
      <c r="AE53" s="97">
        <f t="shared" si="69"/>
        <v>228.21416666666667</v>
      </c>
      <c r="AF53" s="90">
        <f t="shared" si="66"/>
        <v>-0.1883169232410771</v>
      </c>
    </row>
    <row r="54" spans="1:32" ht="15.75" thickBot="1" x14ac:dyDescent="0.3">
      <c r="A54" s="36" t="s">
        <v>124</v>
      </c>
      <c r="B54" s="81">
        <v>54</v>
      </c>
      <c r="C54" s="81">
        <v>7</v>
      </c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39">
        <f t="shared" ref="N54:N59" si="71">SUM(B54:M54)</f>
        <v>61</v>
      </c>
      <c r="O54" s="83">
        <f t="shared" si="70"/>
        <v>-0.54501379876184075</v>
      </c>
      <c r="R54" s="36" t="s">
        <v>124</v>
      </c>
      <c r="S54" s="37">
        <f t="shared" si="55"/>
        <v>187.49</v>
      </c>
      <c r="T54" s="37">
        <f t="shared" si="56"/>
        <v>190.91</v>
      </c>
      <c r="U54" s="96">
        <f t="shared" si="57"/>
        <v>187.82999999999998</v>
      </c>
      <c r="V54" s="96">
        <f t="shared" si="58"/>
        <v>183</v>
      </c>
      <c r="W54" s="96">
        <f t="shared" si="59"/>
        <v>126.5</v>
      </c>
      <c r="X54" s="96">
        <f t="shared" si="60"/>
        <v>107.75</v>
      </c>
      <c r="Y54" s="96">
        <f t="shared" si="61"/>
        <v>95.5</v>
      </c>
      <c r="Z54" s="96">
        <f t="shared" si="62"/>
        <v>83.5</v>
      </c>
      <c r="AA54" s="96">
        <f t="shared" si="63"/>
        <v>80.92</v>
      </c>
      <c r="AB54" s="96">
        <f t="shared" si="64"/>
        <v>71.75</v>
      </c>
      <c r="AC54" s="96">
        <f t="shared" si="65"/>
        <v>67.25</v>
      </c>
      <c r="AD54" s="96">
        <f t="shared" si="68"/>
        <v>61</v>
      </c>
      <c r="AE54" s="97">
        <f t="shared" si="69"/>
        <v>120.28333333333335</v>
      </c>
      <c r="AF54" s="90">
        <f t="shared" si="66"/>
        <v>0.1346324668076378</v>
      </c>
    </row>
    <row r="55" spans="1:32" x14ac:dyDescent="0.25">
      <c r="A55" s="36" t="s">
        <v>125</v>
      </c>
      <c r="B55" s="38">
        <v>0</v>
      </c>
      <c r="C55" s="38">
        <v>0</v>
      </c>
      <c r="D55" s="38"/>
      <c r="E55" s="38"/>
      <c r="F55" s="38"/>
      <c r="G55" s="38"/>
      <c r="H55" s="38"/>
      <c r="I55" s="38"/>
      <c r="J55" s="38"/>
      <c r="K55" s="38"/>
      <c r="L55" s="38"/>
      <c r="M55" s="37"/>
      <c r="N55" s="39">
        <f t="shared" si="71"/>
        <v>0</v>
      </c>
      <c r="O55" s="46" t="e">
        <f t="shared" si="70"/>
        <v>#DIV/0!</v>
      </c>
      <c r="R55" s="36" t="s">
        <v>125</v>
      </c>
      <c r="S55" s="37">
        <f t="shared" si="55"/>
        <v>0</v>
      </c>
      <c r="T55" s="37">
        <f t="shared" si="56"/>
        <v>0</v>
      </c>
      <c r="U55" s="96">
        <f t="shared" si="57"/>
        <v>0</v>
      </c>
      <c r="V55" s="96">
        <f t="shared" si="58"/>
        <v>0</v>
      </c>
      <c r="W55" s="96">
        <f t="shared" si="59"/>
        <v>0</v>
      </c>
      <c r="X55" s="96">
        <f t="shared" si="60"/>
        <v>0</v>
      </c>
      <c r="Y55" s="96">
        <f t="shared" si="61"/>
        <v>0</v>
      </c>
      <c r="Z55" s="96">
        <f t="shared" si="62"/>
        <v>0</v>
      </c>
      <c r="AA55" s="96">
        <f t="shared" si="63"/>
        <v>0</v>
      </c>
      <c r="AB55" s="96">
        <f t="shared" si="64"/>
        <v>0</v>
      </c>
      <c r="AC55" s="96">
        <f t="shared" si="65"/>
        <v>0</v>
      </c>
      <c r="AD55" s="96">
        <f t="shared" si="68"/>
        <v>0</v>
      </c>
      <c r="AE55" s="97">
        <f t="shared" si="69"/>
        <v>0</v>
      </c>
      <c r="AF55" s="90">
        <f t="shared" si="66"/>
        <v>-1</v>
      </c>
    </row>
    <row r="56" spans="1:32" ht="15.75" thickBot="1" x14ac:dyDescent="0.3">
      <c r="A56" s="40" t="s">
        <v>126</v>
      </c>
      <c r="B56" s="38">
        <v>0</v>
      </c>
      <c r="C56" s="38">
        <v>0</v>
      </c>
      <c r="D56" s="38"/>
      <c r="E56" s="38"/>
      <c r="F56" s="38"/>
      <c r="G56" s="38"/>
      <c r="H56" s="38"/>
      <c r="I56" s="38"/>
      <c r="J56" s="38"/>
      <c r="K56" s="38"/>
      <c r="L56" s="38"/>
      <c r="M56" s="37"/>
      <c r="N56" s="39">
        <f t="shared" si="71"/>
        <v>0</v>
      </c>
      <c r="O56" s="46" t="e">
        <f t="shared" si="70"/>
        <v>#DIV/0!</v>
      </c>
      <c r="R56" s="40" t="s">
        <v>126</v>
      </c>
      <c r="S56" s="37">
        <f t="shared" si="55"/>
        <v>0</v>
      </c>
      <c r="T56" s="37">
        <f t="shared" si="56"/>
        <v>0</v>
      </c>
      <c r="U56" s="96">
        <f t="shared" si="57"/>
        <v>0</v>
      </c>
      <c r="V56" s="96">
        <f t="shared" si="58"/>
        <v>0</v>
      </c>
      <c r="W56" s="96">
        <f t="shared" si="59"/>
        <v>0</v>
      </c>
      <c r="X56" s="96">
        <f t="shared" si="60"/>
        <v>0</v>
      </c>
      <c r="Y56" s="96">
        <f t="shared" si="61"/>
        <v>0</v>
      </c>
      <c r="Z56" s="96">
        <f t="shared" si="62"/>
        <v>0</v>
      </c>
      <c r="AA56" s="96">
        <f t="shared" si="63"/>
        <v>0</v>
      </c>
      <c r="AB56" s="96">
        <v>2</v>
      </c>
      <c r="AC56" s="96">
        <f t="shared" si="65"/>
        <v>0</v>
      </c>
      <c r="AD56" s="96">
        <f t="shared" si="68"/>
        <v>0</v>
      </c>
      <c r="AE56" s="97">
        <f t="shared" si="69"/>
        <v>0.16666666666666666</v>
      </c>
      <c r="AF56" s="90">
        <f t="shared" si="66"/>
        <v>-0.85865724381625441</v>
      </c>
    </row>
    <row r="57" spans="1:32" ht="15.75" thickBot="1" x14ac:dyDescent="0.3">
      <c r="A57" s="40" t="s">
        <v>153</v>
      </c>
      <c r="B57" s="81">
        <v>527.33000000000004</v>
      </c>
      <c r="C57" s="81">
        <v>528.66999999999996</v>
      </c>
      <c r="D57" s="81"/>
      <c r="E57" s="81"/>
      <c r="F57" s="81"/>
      <c r="G57" s="81"/>
      <c r="H57" s="82"/>
      <c r="I57" s="81"/>
      <c r="J57" s="82"/>
      <c r="K57" s="81"/>
      <c r="L57" s="81"/>
      <c r="M57" s="81"/>
      <c r="N57" s="39">
        <f t="shared" si="71"/>
        <v>1056</v>
      </c>
      <c r="O57" s="83">
        <f t="shared" si="70"/>
        <v>-0.88078815287113155</v>
      </c>
      <c r="R57" s="40" t="s">
        <v>153</v>
      </c>
      <c r="S57" s="37">
        <f t="shared" ref="S57:S58" si="72">SUM(C42:M42)+B57</f>
        <v>8992.26</v>
      </c>
      <c r="T57" s="37">
        <f t="shared" ref="T57:T58" si="73">SUM(D42:M42)+SUM(B57:C57)</f>
        <v>8984.93</v>
      </c>
      <c r="U57" s="96">
        <f t="shared" ref="U57:U58" si="74">SUM(E42:M42)+SUM(B57:D57)</f>
        <v>8409.68</v>
      </c>
      <c r="V57" s="96">
        <f t="shared" ref="V57:V58" si="75">SUM(F42:M42)+SUM(B57:E57)</f>
        <v>7773.43</v>
      </c>
      <c r="W57" s="96">
        <f t="shared" ref="W57:W58" si="76">SUM(G42:M42)+SUM(B57:F57)</f>
        <v>6941.6</v>
      </c>
      <c r="X57" s="96">
        <f t="shared" ref="X57:X58" si="77">SUM(H42:M42)+SUM(B57:G57)</f>
        <v>6312.18</v>
      </c>
      <c r="Y57" s="96">
        <f t="shared" ref="Y57:Y58" si="78">SUM(I42:M42)+SUM(B57:H57)</f>
        <v>4917.51</v>
      </c>
      <c r="Z57" s="96">
        <f t="shared" ref="Z57:Z58" si="79">SUM(J42:M42)+SUM(B57:I57)</f>
        <v>4161.51</v>
      </c>
      <c r="AA57" s="96">
        <f t="shared" ref="AA57:AA58" si="80">SUM(K42:M42)+SUM(B57:J57)</f>
        <v>3068.84</v>
      </c>
      <c r="AB57" s="96">
        <f>SUM(L42:M42)+SUM(B57:K57)</f>
        <v>2368.17</v>
      </c>
      <c r="AC57" s="96">
        <f t="shared" ref="AC57" si="81">SUM(M42:M42)+SUM(B57:L57)</f>
        <v>1702.5</v>
      </c>
      <c r="AD57" s="96">
        <f>SUM(B57:M57)</f>
        <v>1056</v>
      </c>
      <c r="AE57" s="97">
        <f t="shared" si="69"/>
        <v>5390.7174999999997</v>
      </c>
      <c r="AF57" s="90">
        <f t="shared" ref="AF57:AF58" si="82">(AE57-AE42)/AE42</f>
        <v>-0.32068374980546294</v>
      </c>
    </row>
    <row r="58" spans="1:32" ht="15.75" thickBot="1" x14ac:dyDescent="0.3">
      <c r="A58" s="40" t="s">
        <v>154</v>
      </c>
      <c r="B58" s="81">
        <v>11.17</v>
      </c>
      <c r="C58" s="81">
        <v>20.170000000000002</v>
      </c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39">
        <f t="shared" si="71"/>
        <v>31.340000000000003</v>
      </c>
      <c r="O58" s="83">
        <f t="shared" si="70"/>
        <v>-0.94127457042741758</v>
      </c>
      <c r="R58" s="40" t="s">
        <v>154</v>
      </c>
      <c r="S58" s="37">
        <f t="shared" si="72"/>
        <v>526.66999999999985</v>
      </c>
      <c r="T58" s="37">
        <f t="shared" si="73"/>
        <v>484.16999999999996</v>
      </c>
      <c r="U58" s="96">
        <f t="shared" si="74"/>
        <v>442.84000000000003</v>
      </c>
      <c r="V58" s="96">
        <f t="shared" si="75"/>
        <v>416.84000000000003</v>
      </c>
      <c r="W58" s="96">
        <f t="shared" si="76"/>
        <v>386.26</v>
      </c>
      <c r="X58" s="96">
        <f t="shared" si="77"/>
        <v>350.59000000000003</v>
      </c>
      <c r="Y58" s="96">
        <f t="shared" si="78"/>
        <v>195.17</v>
      </c>
      <c r="Z58" s="96">
        <f t="shared" si="79"/>
        <v>162.59</v>
      </c>
      <c r="AA58" s="96">
        <f t="shared" si="80"/>
        <v>133.76</v>
      </c>
      <c r="AB58" s="96">
        <f>SUM(L43:M43)+SUM(B58:K58)</f>
        <v>100.51</v>
      </c>
      <c r="AC58" s="96">
        <f>SUM(M43:M43)+SUM(B58:L58)</f>
        <v>66.260000000000005</v>
      </c>
      <c r="AD58" s="96">
        <f>SUM(B58:M58)</f>
        <v>31.340000000000003</v>
      </c>
      <c r="AE58" s="97">
        <f t="shared" si="69"/>
        <v>274.75000000000006</v>
      </c>
      <c r="AF58" s="90">
        <f t="shared" si="82"/>
        <v>-0.37706299466998688</v>
      </c>
    </row>
    <row r="59" spans="1:32" x14ac:dyDescent="0.25">
      <c r="A59" s="73" t="s">
        <v>11</v>
      </c>
      <c r="B59" s="76">
        <f>SUM(B48:B58)</f>
        <v>2364.5</v>
      </c>
      <c r="C59" s="76">
        <f>SUM(C48:C58)</f>
        <v>1472.6799999999998</v>
      </c>
      <c r="D59" s="76">
        <f t="shared" ref="D59" si="83">SUM(D48:D58)</f>
        <v>0</v>
      </c>
      <c r="E59" s="76">
        <f t="shared" ref="E59" si="84">SUM(E48:E58)</f>
        <v>0</v>
      </c>
      <c r="F59" s="76">
        <f t="shared" ref="F59" si="85">SUM(F48:F58)</f>
        <v>0</v>
      </c>
      <c r="G59" s="76">
        <f t="shared" ref="G59" si="86">SUM(G48:G58)</f>
        <v>0</v>
      </c>
      <c r="H59" s="76">
        <f t="shared" ref="H59" si="87">SUM(H48:H58)</f>
        <v>0</v>
      </c>
      <c r="I59" s="76">
        <f t="shared" ref="I59" si="88">SUM(I48:I58)</f>
        <v>0</v>
      </c>
      <c r="J59" s="76">
        <f t="shared" ref="J59" si="89">SUM(J48:J58)</f>
        <v>0</v>
      </c>
      <c r="K59" s="76">
        <f t="shared" ref="K59" si="90">SUM(K48:K58)</f>
        <v>0</v>
      </c>
      <c r="L59" s="76">
        <f t="shared" ref="L59" si="91">SUM(L48:L58)</f>
        <v>0</v>
      </c>
      <c r="M59" s="76">
        <f>SUM(M48:M58)</f>
        <v>0</v>
      </c>
      <c r="N59" s="85">
        <f t="shared" si="71"/>
        <v>3837.18</v>
      </c>
      <c r="O59" s="87">
        <f t="shared" si="70"/>
        <v>-0.83013149693303678</v>
      </c>
      <c r="R59" s="73" t="s">
        <v>11</v>
      </c>
      <c r="S59" s="76">
        <f t="shared" ref="S59" si="92">SUM(S48:S58)</f>
        <v>23818.539999999997</v>
      </c>
      <c r="T59" s="76">
        <f t="shared" ref="T59" si="93">SUM(T48:T58)</f>
        <v>23892.89</v>
      </c>
      <c r="U59" s="76">
        <f t="shared" ref="U59" si="94">SUM(U48:U58)</f>
        <v>22314.82</v>
      </c>
      <c r="V59" s="76">
        <f t="shared" ref="V59" si="95">SUM(V48:V58)</f>
        <v>20721.829999999998</v>
      </c>
      <c r="W59" s="76">
        <f t="shared" ref="W59" si="96">SUM(W48:W58)</f>
        <v>17729.52</v>
      </c>
      <c r="X59" s="76">
        <f t="shared" ref="X59" si="97">SUM(X48:X58)</f>
        <v>16039.17</v>
      </c>
      <c r="Y59" s="76">
        <f t="shared" ref="Y59" si="98">SUM(Y48:Y58)</f>
        <v>13041.42</v>
      </c>
      <c r="Z59" s="76">
        <f t="shared" ref="Z59" si="99">SUM(Z48:Z58)</f>
        <v>11197.68</v>
      </c>
      <c r="AA59" s="76">
        <f t="shared" ref="AA59" si="100">SUM(AA48:AA58)</f>
        <v>9081.7000000000007</v>
      </c>
      <c r="AB59" s="76">
        <f t="shared" ref="AB59" si="101">SUM(AB48:AB58)</f>
        <v>7382.5300000000007</v>
      </c>
      <c r="AC59" s="76">
        <f t="shared" ref="AC59" si="102">SUM(AC48:AC58)</f>
        <v>5736.26</v>
      </c>
      <c r="AD59" s="76">
        <f>SUM(AD48:AD58)</f>
        <v>3837.1800000000003</v>
      </c>
      <c r="AE59" s="85">
        <f t="shared" si="69"/>
        <v>14566.128333333334</v>
      </c>
      <c r="AF59" s="80"/>
    </row>
    <row r="60" spans="1:32" x14ac:dyDescent="0.25">
      <c r="A60" s="78" t="s">
        <v>130</v>
      </c>
      <c r="B60" s="85">
        <f t="shared" ref="B60:N60" si="103">B59-B44</f>
        <v>1229.4199999999998</v>
      </c>
      <c r="C60" s="85">
        <f t="shared" si="103"/>
        <v>74.349999999999682</v>
      </c>
      <c r="D60" s="85">
        <f t="shared" si="103"/>
        <v>-1578.0700000000002</v>
      </c>
      <c r="E60" s="85">
        <f t="shared" si="103"/>
        <v>-1592.9900000000002</v>
      </c>
      <c r="F60" s="85">
        <f t="shared" si="103"/>
        <v>-2992.3099999999995</v>
      </c>
      <c r="G60" s="85">
        <f t="shared" si="103"/>
        <v>-1690.35</v>
      </c>
      <c r="H60" s="86">
        <f t="shared" si="103"/>
        <v>-2997.75</v>
      </c>
      <c r="I60" s="85">
        <f t="shared" si="103"/>
        <v>-1843.74</v>
      </c>
      <c r="J60" s="85">
        <f t="shared" si="103"/>
        <v>-2115.9800000000005</v>
      </c>
      <c r="K60" s="85">
        <f t="shared" si="103"/>
        <v>-1701.17</v>
      </c>
      <c r="L60" s="85">
        <f t="shared" si="103"/>
        <v>-1644.2699999999998</v>
      </c>
      <c r="M60" s="85">
        <f t="shared" si="103"/>
        <v>-1899.08</v>
      </c>
      <c r="N60" s="85">
        <f t="shared" si="103"/>
        <v>-18751.940000000002</v>
      </c>
      <c r="O60" s="87"/>
      <c r="R60" s="78" t="s">
        <v>130</v>
      </c>
      <c r="S60" s="85">
        <f t="shared" ref="S60:AD60" si="104">S59-S44</f>
        <v>6408.7000000000007</v>
      </c>
      <c r="T60" s="85">
        <f t="shared" si="104"/>
        <v>6249.6499999999978</v>
      </c>
      <c r="U60" s="85">
        <f t="shared" si="104"/>
        <v>4359.43</v>
      </c>
      <c r="V60" s="85">
        <f t="shared" si="104"/>
        <v>2422.8000000000029</v>
      </c>
      <c r="W60" s="85">
        <f t="shared" si="104"/>
        <v>-2135.5699999999997</v>
      </c>
      <c r="X60" s="85">
        <f t="shared" si="104"/>
        <v>-4078.1099999999951</v>
      </c>
      <c r="Y60" s="85">
        <f t="shared" si="104"/>
        <v>-7456.279999999997</v>
      </c>
      <c r="Z60" s="85">
        <f t="shared" si="104"/>
        <v>-9561.0899999999965</v>
      </c>
      <c r="AA60" s="85">
        <f t="shared" si="104"/>
        <v>-12316.8</v>
      </c>
      <c r="AB60" s="85">
        <f t="shared" si="104"/>
        <v>-14518.139999999998</v>
      </c>
      <c r="AC60" s="85">
        <f t="shared" si="104"/>
        <v>-16247.019999999999</v>
      </c>
      <c r="AD60" s="85">
        <f t="shared" si="104"/>
        <v>-18751.939999999995</v>
      </c>
      <c r="AE60" s="85">
        <f>AVERAGE(S60:AD60)</f>
        <v>-5468.6974999999975</v>
      </c>
      <c r="AF60" s="80"/>
    </row>
    <row r="62" spans="1:32" ht="42.75" x14ac:dyDescent="0.25">
      <c r="A62" s="72">
        <v>2026</v>
      </c>
      <c r="B62" s="94">
        <v>46023</v>
      </c>
      <c r="C62" s="94">
        <v>46054</v>
      </c>
      <c r="D62" s="94">
        <v>46082</v>
      </c>
      <c r="E62" s="94">
        <v>46113</v>
      </c>
      <c r="F62" s="94">
        <v>46143</v>
      </c>
      <c r="G62" s="94">
        <v>46174</v>
      </c>
      <c r="H62" s="94">
        <v>46204</v>
      </c>
      <c r="I62" s="94">
        <v>46235</v>
      </c>
      <c r="J62" s="94">
        <v>46266</v>
      </c>
      <c r="K62" s="94">
        <v>46296</v>
      </c>
      <c r="L62" s="94">
        <v>46327</v>
      </c>
      <c r="M62" s="94">
        <v>46357</v>
      </c>
      <c r="N62" s="70" t="s">
        <v>123</v>
      </c>
      <c r="O62" s="70" t="s">
        <v>127</v>
      </c>
      <c r="R62" s="72" t="s">
        <v>157</v>
      </c>
      <c r="S62" s="94">
        <f>B62</f>
        <v>46023</v>
      </c>
      <c r="T62" s="94">
        <f t="shared" ref="T62:AD62" si="105">C62</f>
        <v>46054</v>
      </c>
      <c r="U62" s="94">
        <f t="shared" si="105"/>
        <v>46082</v>
      </c>
      <c r="V62" s="94">
        <f t="shared" si="105"/>
        <v>46113</v>
      </c>
      <c r="W62" s="94">
        <f t="shared" si="105"/>
        <v>46143</v>
      </c>
      <c r="X62" s="94">
        <f t="shared" si="105"/>
        <v>46174</v>
      </c>
      <c r="Y62" s="94">
        <f t="shared" si="105"/>
        <v>46204</v>
      </c>
      <c r="Z62" s="94">
        <f t="shared" si="105"/>
        <v>46235</v>
      </c>
      <c r="AA62" s="94">
        <f t="shared" si="105"/>
        <v>46266</v>
      </c>
      <c r="AB62" s="94">
        <f t="shared" si="105"/>
        <v>46296</v>
      </c>
      <c r="AC62" s="94">
        <f t="shared" si="105"/>
        <v>46327</v>
      </c>
      <c r="AD62" s="94">
        <f t="shared" si="105"/>
        <v>46357</v>
      </c>
      <c r="AE62" s="70" t="s">
        <v>128</v>
      </c>
      <c r="AF62" s="70" t="s">
        <v>127</v>
      </c>
    </row>
    <row r="63" spans="1:32" x14ac:dyDescent="0.25">
      <c r="A63" s="36" t="s">
        <v>146</v>
      </c>
      <c r="B63" s="37"/>
      <c r="C63" s="37"/>
      <c r="D63" s="37"/>
      <c r="E63" s="37"/>
      <c r="F63" s="37"/>
      <c r="G63" s="37"/>
      <c r="H63" s="38"/>
      <c r="I63" s="37"/>
      <c r="J63" s="37"/>
      <c r="K63" s="38"/>
      <c r="L63" s="38"/>
      <c r="M63" s="37"/>
      <c r="N63" s="44">
        <f>SUM(B63:M63)</f>
        <v>0</v>
      </c>
      <c r="O63" s="53">
        <f t="shared" ref="O63:O68" si="106">(N63-N48)/N48</f>
        <v>-1</v>
      </c>
      <c r="R63" s="36" t="s">
        <v>146</v>
      </c>
      <c r="S63" s="96">
        <f t="shared" ref="S63:S68" si="107">SUM(C48:M48)+B63</f>
        <v>856.08</v>
      </c>
      <c r="T63" s="96">
        <f t="shared" ref="T63:T68" si="108">SUM(D48:M48)+SUM(B63:C63)</f>
        <v>0</v>
      </c>
      <c r="U63" s="96">
        <f t="shared" ref="U63:U68" si="109">SUM(E48:M48)+SUM(B63:D63)</f>
        <v>0</v>
      </c>
      <c r="V63" s="96">
        <f t="shared" ref="V63:V68" si="110">SUM(F48:M48)+SUM(B63:E63)</f>
        <v>0</v>
      </c>
      <c r="W63" s="96">
        <f t="shared" ref="W63:W68" si="111">SUM(G48:M48)+SUM(B63:F63)</f>
        <v>0</v>
      </c>
      <c r="X63" s="96">
        <f t="shared" ref="X63:X68" si="112">SUM(H48:M48)+SUM(B63:G63)</f>
        <v>0</v>
      </c>
      <c r="Y63" s="96">
        <f t="shared" ref="Y63:Y68" si="113">SUM(I48:M48)+SUM(B63:H63)</f>
        <v>0</v>
      </c>
      <c r="Z63" s="96">
        <f t="shared" ref="Z63:Z68" si="114">SUM(J48:M48)+SUM(B63:I63)</f>
        <v>0</v>
      </c>
      <c r="AA63" s="96">
        <f t="shared" ref="AA63:AA68" si="115">SUM(K48:M48)+SUM(B63:J63)</f>
        <v>0</v>
      </c>
      <c r="AB63" s="96">
        <f t="shared" ref="AB63:AB68" si="116">SUM(L48:M48)+SUM(B63:K63)</f>
        <v>0</v>
      </c>
      <c r="AC63" s="96">
        <f t="shared" ref="AC63:AC68" si="117">SUM(M48:M48)+SUM(B63:L63)</f>
        <v>0</v>
      </c>
      <c r="AD63" s="96">
        <f>SUM(B63:M63)</f>
        <v>0</v>
      </c>
      <c r="AE63" s="97">
        <f>AVERAGE(S63:AD63)</f>
        <v>71.34</v>
      </c>
      <c r="AF63" s="53">
        <f t="shared" ref="AF63:AF70" si="118">(AE63-AE48)/AE48</f>
        <v>-0.99114776037034469</v>
      </c>
    </row>
    <row r="64" spans="1:32" x14ac:dyDescent="0.25">
      <c r="A64" s="40" t="s">
        <v>147</v>
      </c>
      <c r="B64" s="37"/>
      <c r="C64" s="37"/>
      <c r="D64" s="37"/>
      <c r="E64" s="37"/>
      <c r="F64" s="37"/>
      <c r="G64" s="37"/>
      <c r="H64" s="38"/>
      <c r="I64" s="37"/>
      <c r="J64" s="37"/>
      <c r="K64" s="38"/>
      <c r="L64" s="38"/>
      <c r="M64" s="37"/>
      <c r="N64" s="44">
        <f t="shared" ref="N64:N67" si="119">SUM(B64:M64)</f>
        <v>0</v>
      </c>
      <c r="O64" s="53">
        <f t="shared" si="106"/>
        <v>-1</v>
      </c>
      <c r="R64" s="40" t="s">
        <v>147</v>
      </c>
      <c r="S64" s="96">
        <f t="shared" si="107"/>
        <v>10.08</v>
      </c>
      <c r="T64" s="96">
        <f t="shared" si="108"/>
        <v>0</v>
      </c>
      <c r="U64" s="96">
        <f t="shared" si="109"/>
        <v>0</v>
      </c>
      <c r="V64" s="96">
        <f t="shared" si="110"/>
        <v>0</v>
      </c>
      <c r="W64" s="96">
        <f t="shared" si="111"/>
        <v>0</v>
      </c>
      <c r="X64" s="96">
        <f t="shared" si="112"/>
        <v>0</v>
      </c>
      <c r="Y64" s="96">
        <f t="shared" si="113"/>
        <v>0</v>
      </c>
      <c r="Z64" s="96">
        <f t="shared" si="114"/>
        <v>0</v>
      </c>
      <c r="AA64" s="96">
        <f t="shared" si="115"/>
        <v>0</v>
      </c>
      <c r="AB64" s="96">
        <f t="shared" si="116"/>
        <v>0</v>
      </c>
      <c r="AC64" s="96">
        <f t="shared" si="117"/>
        <v>0</v>
      </c>
      <c r="AD64" s="96">
        <f t="shared" ref="AD64:AD69" si="120">SUM(B64:M64)</f>
        <v>0</v>
      </c>
      <c r="AE64" s="97">
        <f t="shared" ref="AE64:AE74" si="121">AVERAGE(S64:AD64)</f>
        <v>0.84</v>
      </c>
      <c r="AF64" s="53">
        <f t="shared" si="118"/>
        <v>-0.99003243414286846</v>
      </c>
    </row>
    <row r="65" spans="1:32" x14ac:dyDescent="0.25">
      <c r="A65" s="40" t="s">
        <v>148</v>
      </c>
      <c r="B65" s="37"/>
      <c r="C65" s="37"/>
      <c r="D65" s="37"/>
      <c r="E65" s="37"/>
      <c r="F65" s="37"/>
      <c r="G65" s="37"/>
      <c r="H65" s="38"/>
      <c r="I65" s="37"/>
      <c r="J65" s="37"/>
      <c r="K65" s="38"/>
      <c r="L65" s="38"/>
      <c r="M65" s="37"/>
      <c r="N65" s="44">
        <f t="shared" si="119"/>
        <v>0</v>
      </c>
      <c r="O65" s="46">
        <f t="shared" si="106"/>
        <v>-1</v>
      </c>
      <c r="R65" s="40" t="s">
        <v>148</v>
      </c>
      <c r="S65" s="96">
        <f t="shared" si="107"/>
        <v>5.92</v>
      </c>
      <c r="T65" s="96">
        <f t="shared" si="108"/>
        <v>0</v>
      </c>
      <c r="U65" s="96">
        <f t="shared" si="109"/>
        <v>0</v>
      </c>
      <c r="V65" s="96">
        <f t="shared" si="110"/>
        <v>0</v>
      </c>
      <c r="W65" s="96">
        <f t="shared" si="111"/>
        <v>0</v>
      </c>
      <c r="X65" s="96">
        <f t="shared" si="112"/>
        <v>0</v>
      </c>
      <c r="Y65" s="96">
        <f t="shared" si="113"/>
        <v>0</v>
      </c>
      <c r="Z65" s="96">
        <f t="shared" si="114"/>
        <v>0</v>
      </c>
      <c r="AA65" s="96">
        <f t="shared" si="115"/>
        <v>0</v>
      </c>
      <c r="AB65" s="96">
        <f t="shared" si="116"/>
        <v>0</v>
      </c>
      <c r="AC65" s="96">
        <f t="shared" si="117"/>
        <v>0</v>
      </c>
      <c r="AD65" s="96">
        <f t="shared" si="120"/>
        <v>0</v>
      </c>
      <c r="AE65" s="97">
        <f t="shared" si="121"/>
        <v>0.49333333333333335</v>
      </c>
      <c r="AF65" s="54">
        <f t="shared" si="118"/>
        <v>-0.99495564890634713</v>
      </c>
    </row>
    <row r="66" spans="1:32" x14ac:dyDescent="0.25">
      <c r="A66" s="40" t="s">
        <v>149</v>
      </c>
      <c r="B66" s="37"/>
      <c r="C66" s="37"/>
      <c r="D66" s="37"/>
      <c r="E66" s="37"/>
      <c r="F66" s="37"/>
      <c r="G66" s="37"/>
      <c r="H66" s="38"/>
      <c r="I66" s="37"/>
      <c r="J66" s="37"/>
      <c r="K66" s="38"/>
      <c r="L66" s="38"/>
      <c r="M66" s="37"/>
      <c r="N66" s="44">
        <f t="shared" si="119"/>
        <v>0</v>
      </c>
      <c r="O66" s="46">
        <f t="shared" si="106"/>
        <v>-1</v>
      </c>
      <c r="R66" s="40" t="s">
        <v>149</v>
      </c>
      <c r="S66" s="96">
        <f t="shared" si="107"/>
        <v>4.92</v>
      </c>
      <c r="T66" s="96">
        <f t="shared" si="108"/>
        <v>0</v>
      </c>
      <c r="U66" s="96">
        <f t="shared" si="109"/>
        <v>0</v>
      </c>
      <c r="V66" s="96">
        <f t="shared" si="110"/>
        <v>0</v>
      </c>
      <c r="W66" s="96">
        <f t="shared" si="111"/>
        <v>0</v>
      </c>
      <c r="X66" s="96">
        <f t="shared" si="112"/>
        <v>0</v>
      </c>
      <c r="Y66" s="96">
        <f t="shared" si="113"/>
        <v>0</v>
      </c>
      <c r="Z66" s="96">
        <f t="shared" si="114"/>
        <v>0</v>
      </c>
      <c r="AA66" s="96">
        <f t="shared" si="115"/>
        <v>0</v>
      </c>
      <c r="AB66" s="96">
        <f t="shared" si="116"/>
        <v>0</v>
      </c>
      <c r="AC66" s="96">
        <f t="shared" si="117"/>
        <v>0</v>
      </c>
      <c r="AD66" s="96">
        <f t="shared" si="120"/>
        <v>0</v>
      </c>
      <c r="AE66" s="97">
        <f t="shared" si="121"/>
        <v>0.41</v>
      </c>
      <c r="AF66" s="55">
        <f t="shared" si="118"/>
        <v>-0.99360781613376814</v>
      </c>
    </row>
    <row r="67" spans="1:32" x14ac:dyDescent="0.25">
      <c r="A67" s="40" t="s">
        <v>150</v>
      </c>
      <c r="B67" s="37"/>
      <c r="C67" s="37"/>
      <c r="D67" s="37"/>
      <c r="E67" s="37"/>
      <c r="F67" s="37"/>
      <c r="G67" s="37"/>
      <c r="H67" s="38"/>
      <c r="I67" s="37"/>
      <c r="J67" s="37"/>
      <c r="K67" s="38"/>
      <c r="L67" s="38"/>
      <c r="M67" s="37"/>
      <c r="N67" s="44">
        <f t="shared" si="119"/>
        <v>0</v>
      </c>
      <c r="O67" s="46">
        <f t="shared" si="106"/>
        <v>-1</v>
      </c>
      <c r="R67" s="40" t="s">
        <v>150</v>
      </c>
      <c r="S67" s="96">
        <f t="shared" si="107"/>
        <v>19.920000000000002</v>
      </c>
      <c r="T67" s="96">
        <f t="shared" si="108"/>
        <v>0</v>
      </c>
      <c r="U67" s="96">
        <f t="shared" si="109"/>
        <v>0</v>
      </c>
      <c r="V67" s="96">
        <f t="shared" si="110"/>
        <v>0</v>
      </c>
      <c r="W67" s="96">
        <f t="shared" si="111"/>
        <v>0</v>
      </c>
      <c r="X67" s="96">
        <f t="shared" si="112"/>
        <v>0</v>
      </c>
      <c r="Y67" s="96">
        <f t="shared" si="113"/>
        <v>0</v>
      </c>
      <c r="Z67" s="96">
        <f t="shared" si="114"/>
        <v>0</v>
      </c>
      <c r="AA67" s="96">
        <f t="shared" si="115"/>
        <v>0</v>
      </c>
      <c r="AB67" s="96">
        <f t="shared" si="116"/>
        <v>0</v>
      </c>
      <c r="AC67" s="96">
        <f t="shared" si="117"/>
        <v>0</v>
      </c>
      <c r="AD67" s="96">
        <f t="shared" si="120"/>
        <v>0</v>
      </c>
      <c r="AE67" s="97">
        <f t="shared" si="121"/>
        <v>1.6600000000000001</v>
      </c>
      <c r="AF67" s="54">
        <f t="shared" si="118"/>
        <v>-0.99327406497010129</v>
      </c>
    </row>
    <row r="68" spans="1:32" x14ac:dyDescent="0.25">
      <c r="A68" s="36" t="s">
        <v>151</v>
      </c>
      <c r="B68" s="38"/>
      <c r="C68" s="38"/>
      <c r="D68" s="38"/>
      <c r="E68" s="37"/>
      <c r="F68" s="38"/>
      <c r="G68" s="37"/>
      <c r="H68" s="38"/>
      <c r="I68" s="37"/>
      <c r="J68" s="37"/>
      <c r="K68" s="38"/>
      <c r="L68" s="38"/>
      <c r="M68" s="37"/>
      <c r="N68" s="44">
        <f>SUM(B68:M68)</f>
        <v>0</v>
      </c>
      <c r="O68" s="53">
        <f t="shared" si="106"/>
        <v>-1</v>
      </c>
      <c r="R68" s="36" t="s">
        <v>151</v>
      </c>
      <c r="S68" s="96">
        <f t="shared" si="107"/>
        <v>19.920000000000002</v>
      </c>
      <c r="T68" s="96">
        <f t="shared" si="108"/>
        <v>0</v>
      </c>
      <c r="U68" s="96">
        <f t="shared" si="109"/>
        <v>0</v>
      </c>
      <c r="V68" s="96">
        <f t="shared" si="110"/>
        <v>0</v>
      </c>
      <c r="W68" s="96">
        <f t="shared" si="111"/>
        <v>0</v>
      </c>
      <c r="X68" s="96">
        <f t="shared" si="112"/>
        <v>0</v>
      </c>
      <c r="Y68" s="96">
        <f t="shared" si="113"/>
        <v>0</v>
      </c>
      <c r="Z68" s="96">
        <f t="shared" si="114"/>
        <v>0</v>
      </c>
      <c r="AA68" s="96">
        <f t="shared" si="115"/>
        <v>0</v>
      </c>
      <c r="AB68" s="96">
        <f t="shared" si="116"/>
        <v>0</v>
      </c>
      <c r="AC68" s="96">
        <f t="shared" si="117"/>
        <v>0</v>
      </c>
      <c r="AD68" s="96">
        <f t="shared" si="120"/>
        <v>0</v>
      </c>
      <c r="AE68" s="97">
        <f t="shared" si="121"/>
        <v>1.6600000000000001</v>
      </c>
      <c r="AF68" s="55">
        <f t="shared" si="118"/>
        <v>-0.99272613079088723</v>
      </c>
    </row>
    <row r="69" spans="1:32" x14ac:dyDescent="0.25">
      <c r="A69" s="40" t="s">
        <v>152</v>
      </c>
      <c r="B69" s="38"/>
      <c r="C69" s="38"/>
      <c r="D69" s="38"/>
      <c r="E69" s="38"/>
      <c r="F69" s="37"/>
      <c r="G69" s="37"/>
      <c r="H69" s="38"/>
      <c r="I69" s="37"/>
      <c r="J69" s="37"/>
      <c r="K69" s="38"/>
      <c r="L69" s="38"/>
      <c r="M69" s="37"/>
      <c r="N69" s="44">
        <f>SUM(B69:M69)</f>
        <v>0</v>
      </c>
      <c r="O69" s="46" t="e">
        <f>(N69-N55)/N55</f>
        <v>#DIV/0!</v>
      </c>
      <c r="R69" s="40" t="s">
        <v>152</v>
      </c>
      <c r="S69" s="96">
        <f>SUM(C55:M55)+B69</f>
        <v>0</v>
      </c>
      <c r="T69" s="96">
        <f>SUM(D55:M55)+SUM(B69:C69)</f>
        <v>0</v>
      </c>
      <c r="U69" s="96">
        <f>SUM(E55:M55)+SUM(B69:D69)</f>
        <v>0</v>
      </c>
      <c r="V69" s="96">
        <f>SUM(F55:M55)+SUM(B69:E69)</f>
        <v>0</v>
      </c>
      <c r="W69" s="96">
        <f>SUM(G55:M55)+SUM(B69:F69)</f>
        <v>0</v>
      </c>
      <c r="X69" s="96">
        <f>SUM(H55:M55)+SUM(B69:G69)</f>
        <v>0</v>
      </c>
      <c r="Y69" s="96">
        <f>SUM(I55:M55)+SUM(B69:H69)</f>
        <v>0</v>
      </c>
      <c r="Z69" s="96">
        <f>SUM(J55:M55)+SUM(B69:I69)</f>
        <v>0</v>
      </c>
      <c r="AA69" s="96">
        <f>SUM(K55:M55)+SUM(B69:J69)</f>
        <v>0</v>
      </c>
      <c r="AB69" s="96">
        <f>SUM(L55:M55)+SUM(B69:K69)</f>
        <v>0</v>
      </c>
      <c r="AC69" s="96">
        <f>SUM(M55:M55)+SUM(B69:L69)</f>
        <v>0</v>
      </c>
      <c r="AD69" s="96">
        <f t="shared" si="120"/>
        <v>0</v>
      </c>
      <c r="AE69" s="97">
        <f t="shared" si="121"/>
        <v>0</v>
      </c>
      <c r="AF69" s="54">
        <f t="shared" si="118"/>
        <v>-1</v>
      </c>
    </row>
    <row r="70" spans="1:32" x14ac:dyDescent="0.25">
      <c r="A70" s="36" t="s">
        <v>124</v>
      </c>
      <c r="B70" s="38"/>
      <c r="C70" s="38"/>
      <c r="D70" s="38"/>
      <c r="E70" s="38"/>
      <c r="F70" s="37"/>
      <c r="G70" s="37"/>
      <c r="H70" s="38"/>
      <c r="I70" s="37"/>
      <c r="J70" s="37"/>
      <c r="K70" s="38"/>
      <c r="L70" s="38"/>
      <c r="M70" s="37"/>
      <c r="N70" s="44">
        <f t="shared" ref="N70:N74" si="122">SUM(B70:M70)</f>
        <v>0</v>
      </c>
      <c r="O70" s="56">
        <f>(N71-N57)/N57</f>
        <v>-1</v>
      </c>
      <c r="R70" s="36" t="s">
        <v>124</v>
      </c>
      <c r="S70" s="96">
        <f>SUM(C57:M57)+B70</f>
        <v>528.66999999999996</v>
      </c>
      <c r="T70" s="96">
        <f>SUM(D57:M57)+SUM(B70:C70)</f>
        <v>0</v>
      </c>
      <c r="U70" s="96">
        <f>SUM(E57:M57)+SUM(B70:D70)</f>
        <v>0</v>
      </c>
      <c r="V70" s="96">
        <f>SUM(F57:M57)+SUM(B70:E70)</f>
        <v>0</v>
      </c>
      <c r="W70" s="96">
        <f>SUM(G57:M57)+SUM(B70:F70)</f>
        <v>0</v>
      </c>
      <c r="X70" s="96">
        <f>SUM(H57:M57)+SUM(B70:G70)</f>
        <v>0</v>
      </c>
      <c r="Y70" s="96">
        <f>SUM(I57:M57)+SUM(B70:H70)</f>
        <v>0</v>
      </c>
      <c r="Z70" s="96">
        <f>SUM(J57:M57)+SUM(B70:I70)</f>
        <v>0</v>
      </c>
      <c r="AA70" s="96">
        <f>SUM(K57:M57)+SUM(B70:J70)</f>
        <v>0</v>
      </c>
      <c r="AB70" s="96">
        <f>SUM(L57:M57)+SUM(B70:K70)</f>
        <v>0</v>
      </c>
      <c r="AC70" s="96">
        <f>SUM(M57)+SUM(B70:L70)</f>
        <v>0</v>
      </c>
      <c r="AD70" s="96">
        <f>SUM(N57:X57)+M70</f>
        <v>48469.199211847124</v>
      </c>
      <c r="AE70" s="97">
        <f t="shared" si="121"/>
        <v>4083.1557676539269</v>
      </c>
      <c r="AF70" s="54" t="e">
        <f t="shared" si="118"/>
        <v>#DIV/0!</v>
      </c>
    </row>
    <row r="71" spans="1:32" x14ac:dyDescent="0.25">
      <c r="A71" s="40" t="s">
        <v>126</v>
      </c>
      <c r="B71" s="38"/>
      <c r="C71" s="38"/>
      <c r="D71" s="38"/>
      <c r="E71" s="38"/>
      <c r="F71" s="37"/>
      <c r="G71" s="37"/>
      <c r="H71" s="38"/>
      <c r="I71" s="37"/>
      <c r="J71" s="37"/>
      <c r="K71" s="38"/>
      <c r="L71" s="38"/>
      <c r="M71" s="37"/>
      <c r="N71" s="44">
        <f t="shared" si="122"/>
        <v>0</v>
      </c>
      <c r="O71" s="56"/>
      <c r="R71" s="40" t="s">
        <v>126</v>
      </c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7"/>
      <c r="AF71" s="54"/>
    </row>
    <row r="72" spans="1:32" x14ac:dyDescent="0.25">
      <c r="A72" s="36" t="s">
        <v>153</v>
      </c>
      <c r="B72" s="38"/>
      <c r="C72" s="38"/>
      <c r="D72" s="38"/>
      <c r="E72" s="38"/>
      <c r="F72" s="37"/>
      <c r="G72" s="37"/>
      <c r="H72" s="38"/>
      <c r="I72" s="37"/>
      <c r="J72" s="37"/>
      <c r="K72" s="38"/>
      <c r="L72" s="38"/>
      <c r="M72" s="37"/>
      <c r="N72" s="44">
        <f t="shared" si="122"/>
        <v>0</v>
      </c>
      <c r="O72" s="56"/>
      <c r="R72" s="36" t="s">
        <v>153</v>
      </c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7"/>
      <c r="AF72" s="54"/>
    </row>
    <row r="73" spans="1:32" x14ac:dyDescent="0.25">
      <c r="A73" s="40" t="s">
        <v>154</v>
      </c>
      <c r="B73" s="38"/>
      <c r="C73" s="38"/>
      <c r="D73" s="38"/>
      <c r="E73" s="38"/>
      <c r="F73" s="37"/>
      <c r="G73" s="37"/>
      <c r="H73" s="38"/>
      <c r="I73" s="37"/>
      <c r="J73" s="37"/>
      <c r="K73" s="38"/>
      <c r="L73" s="38"/>
      <c r="M73" s="37"/>
      <c r="N73" s="44">
        <f t="shared" si="122"/>
        <v>0</v>
      </c>
      <c r="O73" s="56"/>
      <c r="R73" s="40" t="s">
        <v>154</v>
      </c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7"/>
      <c r="AF73" s="54"/>
    </row>
    <row r="74" spans="1:32" x14ac:dyDescent="0.25">
      <c r="A74" s="41" t="s">
        <v>11</v>
      </c>
      <c r="B74" s="42">
        <f t="shared" ref="B74:M74" si="123">SUM(B63:B70)</f>
        <v>0</v>
      </c>
      <c r="C74" s="42">
        <f t="shared" si="123"/>
        <v>0</v>
      </c>
      <c r="D74" s="42">
        <f t="shared" si="123"/>
        <v>0</v>
      </c>
      <c r="E74" s="42">
        <f t="shared" si="123"/>
        <v>0</v>
      </c>
      <c r="F74" s="42">
        <f t="shared" si="123"/>
        <v>0</v>
      </c>
      <c r="G74" s="42">
        <f t="shared" si="123"/>
        <v>0</v>
      </c>
      <c r="H74" s="42">
        <f t="shared" si="123"/>
        <v>0</v>
      </c>
      <c r="I74" s="42">
        <f t="shared" si="123"/>
        <v>0</v>
      </c>
      <c r="J74" s="42">
        <f t="shared" si="123"/>
        <v>0</v>
      </c>
      <c r="K74" s="42">
        <f t="shared" si="123"/>
        <v>0</v>
      </c>
      <c r="L74" s="42">
        <f t="shared" si="123"/>
        <v>0</v>
      </c>
      <c r="M74" s="42">
        <f t="shared" si="123"/>
        <v>0</v>
      </c>
      <c r="N74" s="47">
        <f t="shared" si="122"/>
        <v>0</v>
      </c>
      <c r="O74" s="53">
        <f>(N74-N60)/N60</f>
        <v>-1</v>
      </c>
      <c r="R74" s="41" t="s">
        <v>11</v>
      </c>
      <c r="S74" s="42">
        <f t="shared" ref="S74:AD74" si="124">SUM(S63:S70)</f>
        <v>1445.5099999999998</v>
      </c>
      <c r="T74" s="42">
        <f t="shared" si="124"/>
        <v>0</v>
      </c>
      <c r="U74" s="42">
        <f t="shared" si="124"/>
        <v>0</v>
      </c>
      <c r="V74" s="42">
        <f t="shared" si="124"/>
        <v>0</v>
      </c>
      <c r="W74" s="42">
        <f t="shared" si="124"/>
        <v>0</v>
      </c>
      <c r="X74" s="42">
        <f t="shared" si="124"/>
        <v>0</v>
      </c>
      <c r="Y74" s="42">
        <f t="shared" si="124"/>
        <v>0</v>
      </c>
      <c r="Z74" s="42">
        <f t="shared" si="124"/>
        <v>0</v>
      </c>
      <c r="AA74" s="42">
        <f t="shared" si="124"/>
        <v>0</v>
      </c>
      <c r="AB74" s="42">
        <f t="shared" si="124"/>
        <v>0</v>
      </c>
      <c r="AC74" s="42">
        <f t="shared" si="124"/>
        <v>0</v>
      </c>
      <c r="AD74" s="42">
        <f t="shared" si="124"/>
        <v>48469.199211847124</v>
      </c>
      <c r="AE74" s="47">
        <f t="shared" si="121"/>
        <v>4159.5591009872605</v>
      </c>
      <c r="AF74" s="54"/>
    </row>
    <row r="75" spans="1:32" x14ac:dyDescent="0.25">
      <c r="A75" s="48" t="s">
        <v>130</v>
      </c>
      <c r="B75" s="49">
        <f t="shared" ref="B75:M75" si="125">B74-B60</f>
        <v>-1229.4199999999998</v>
      </c>
      <c r="C75" s="51">
        <f t="shared" si="125"/>
        <v>-74.349999999999682</v>
      </c>
      <c r="D75" s="51">
        <f t="shared" si="125"/>
        <v>1578.0700000000002</v>
      </c>
      <c r="E75" s="51">
        <f t="shared" si="125"/>
        <v>1592.9900000000002</v>
      </c>
      <c r="F75" s="49">
        <f t="shared" si="125"/>
        <v>2992.3099999999995</v>
      </c>
      <c r="G75" s="49">
        <f t="shared" si="125"/>
        <v>1690.35</v>
      </c>
      <c r="H75" s="51">
        <f t="shared" si="125"/>
        <v>2997.75</v>
      </c>
      <c r="I75" s="51">
        <f t="shared" si="125"/>
        <v>1843.74</v>
      </c>
      <c r="J75" s="51">
        <f t="shared" si="125"/>
        <v>2115.9800000000005</v>
      </c>
      <c r="K75" s="51">
        <f t="shared" si="125"/>
        <v>1701.17</v>
      </c>
      <c r="L75" s="49">
        <f t="shared" si="125"/>
        <v>1644.2699999999998</v>
      </c>
      <c r="M75" s="51">
        <f t="shared" si="125"/>
        <v>1899.08</v>
      </c>
      <c r="N75" s="52">
        <f>SUM(B75:M75)</f>
        <v>18751.940000000002</v>
      </c>
      <c r="O75" s="57"/>
      <c r="R75" s="48" t="s">
        <v>130</v>
      </c>
      <c r="S75" s="51">
        <f t="shared" ref="S75:AE75" si="126">S74-S60</f>
        <v>-4963.1900000000005</v>
      </c>
      <c r="T75" s="51">
        <f t="shared" si="126"/>
        <v>-6249.6499999999978</v>
      </c>
      <c r="U75" s="51">
        <f t="shared" si="126"/>
        <v>-4359.43</v>
      </c>
      <c r="V75" s="51">
        <f t="shared" si="126"/>
        <v>-2422.8000000000029</v>
      </c>
      <c r="W75" s="51">
        <f t="shared" si="126"/>
        <v>2135.5699999999997</v>
      </c>
      <c r="X75" s="51">
        <f t="shared" si="126"/>
        <v>4078.1099999999951</v>
      </c>
      <c r="Y75" s="51">
        <f t="shared" si="126"/>
        <v>7456.279999999997</v>
      </c>
      <c r="Z75" s="51">
        <f t="shared" si="126"/>
        <v>9561.0899999999965</v>
      </c>
      <c r="AA75" s="50">
        <f t="shared" si="126"/>
        <v>12316.8</v>
      </c>
      <c r="AB75" s="50">
        <f t="shared" si="126"/>
        <v>14518.139999999998</v>
      </c>
      <c r="AC75" s="50">
        <f t="shared" si="126"/>
        <v>16247.019999999999</v>
      </c>
      <c r="AD75" s="50">
        <f t="shared" si="126"/>
        <v>67221.139211847127</v>
      </c>
      <c r="AE75" s="58">
        <f t="shared" si="126"/>
        <v>9628.2566009872571</v>
      </c>
      <c r="AF75" s="54"/>
    </row>
    <row r="76" spans="1:32" x14ac:dyDescent="0.25">
      <c r="G76" s="59"/>
      <c r="H76" s="59"/>
      <c r="I76" s="59"/>
      <c r="X76" s="59"/>
      <c r="Y76" s="59"/>
      <c r="Z76" s="59">
        <f>AVERAGE(S75:Z75)</f>
        <v>654.49749999999858</v>
      </c>
    </row>
    <row r="78" spans="1:32" ht="42.75" x14ac:dyDescent="0.25">
      <c r="A78" s="33">
        <v>2027</v>
      </c>
      <c r="B78" s="34" t="s">
        <v>132</v>
      </c>
      <c r="C78" s="34" t="s">
        <v>133</v>
      </c>
      <c r="D78" s="34" t="s">
        <v>134</v>
      </c>
      <c r="E78" s="34" t="s">
        <v>135</v>
      </c>
      <c r="F78" s="34" t="s">
        <v>136</v>
      </c>
      <c r="G78" s="34" t="s">
        <v>137</v>
      </c>
      <c r="H78" s="34" t="s">
        <v>138</v>
      </c>
      <c r="I78" s="34" t="s">
        <v>139</v>
      </c>
      <c r="J78" s="34" t="s">
        <v>140</v>
      </c>
      <c r="K78" s="34" t="s">
        <v>141</v>
      </c>
      <c r="L78" s="34" t="s">
        <v>142</v>
      </c>
      <c r="M78" s="34" t="s">
        <v>143</v>
      </c>
      <c r="N78" s="35" t="s">
        <v>123</v>
      </c>
      <c r="O78" s="35" t="s">
        <v>127</v>
      </c>
      <c r="R78" s="33" t="s">
        <v>158</v>
      </c>
      <c r="S78" s="34" t="str">
        <f>B78</f>
        <v>Act/FY25
JAN 25</v>
      </c>
      <c r="T78" s="34" t="str">
        <f t="shared" ref="T78:AD78" si="127">C78</f>
        <v>Act/FY25
FEB 25</v>
      </c>
      <c r="U78" s="34" t="str">
        <f t="shared" si="127"/>
        <v>Act/FY25
MAR 25</v>
      </c>
      <c r="V78" s="34" t="str">
        <f t="shared" si="127"/>
        <v>Act/FY25
APR 25</v>
      </c>
      <c r="W78" s="34" t="str">
        <f t="shared" si="127"/>
        <v>Act/FY25
MAY 25</v>
      </c>
      <c r="X78" s="34" t="str">
        <f t="shared" si="127"/>
        <v>Act/FY25
JUN 25</v>
      </c>
      <c r="Y78" s="34" t="str">
        <f t="shared" si="127"/>
        <v>Act/FY25
JUL 25</v>
      </c>
      <c r="Z78" s="34" t="str">
        <f t="shared" si="127"/>
        <v>Act/FY25
AUG 25</v>
      </c>
      <c r="AA78" s="34" t="str">
        <f t="shared" si="127"/>
        <v>Act/FY25
SEP 25</v>
      </c>
      <c r="AB78" s="34" t="str">
        <f t="shared" si="127"/>
        <v>Act/FY25
OCT 25</v>
      </c>
      <c r="AC78" s="34" t="str">
        <f t="shared" si="127"/>
        <v>Act/FY25
NOV 25</v>
      </c>
      <c r="AD78" s="34" t="str">
        <f t="shared" si="127"/>
        <v>Act/FY25
DEC 25</v>
      </c>
      <c r="AE78" s="35" t="s">
        <v>128</v>
      </c>
      <c r="AF78" s="35" t="s">
        <v>127</v>
      </c>
    </row>
    <row r="79" spans="1:32" x14ac:dyDescent="0.25">
      <c r="A79" s="36" t="s">
        <v>146</v>
      </c>
      <c r="B79" s="37"/>
      <c r="C79" s="37"/>
      <c r="D79" s="37"/>
      <c r="E79" s="37"/>
      <c r="F79" s="37"/>
      <c r="G79" s="37"/>
      <c r="H79" s="38"/>
      <c r="I79" s="37"/>
      <c r="J79" s="37"/>
      <c r="K79" s="38"/>
      <c r="L79" s="38"/>
      <c r="M79" s="37"/>
      <c r="N79" s="44">
        <f>SUM(B79:M79)</f>
        <v>0</v>
      </c>
      <c r="O79" s="60" t="e">
        <f t="shared" ref="O79:O84" si="128">(N79-N62)/N62</f>
        <v>#VALUE!</v>
      </c>
      <c r="R79" s="36" t="s">
        <v>146</v>
      </c>
      <c r="S79" s="37">
        <f t="shared" ref="S79:S85" si="129">SUM(C63:M63)+B79</f>
        <v>0</v>
      </c>
      <c r="T79" s="37">
        <f t="shared" ref="T79:T85" si="130">SUM(D63:M63)+SUM(B79:C79)</f>
        <v>0</v>
      </c>
      <c r="U79" s="61">
        <f t="shared" ref="U79:U85" si="131">SUM(E63:M63)+SUM(B79:D79)</f>
        <v>0</v>
      </c>
      <c r="V79" s="61">
        <f t="shared" ref="V79:V85" si="132">SUM(F63:M63)+SUM(B79:E79)</f>
        <v>0</v>
      </c>
      <c r="W79" s="61">
        <f t="shared" ref="W79:W85" si="133">SUM(G63:M63)+SUM(B79:F79)</f>
        <v>0</v>
      </c>
      <c r="X79" s="61">
        <f t="shared" ref="X79:X85" si="134">SUM(H63:M63)+SUM(B79:G79)</f>
        <v>0</v>
      </c>
      <c r="Y79" s="61">
        <f t="shared" ref="Y79:Y85" si="135">SUM(I63:M63)+SUM(B79:H79)</f>
        <v>0</v>
      </c>
      <c r="Z79" s="61">
        <f t="shared" ref="Z79:Z85" si="136">SUM(J63:M63)+SUM(B79:I79)</f>
        <v>0</v>
      </c>
      <c r="AA79" s="62">
        <f t="shared" ref="AA79:AA85" si="137">SUM(K63:M63)+SUM(B79:J79)</f>
        <v>0</v>
      </c>
      <c r="AB79" s="62">
        <f t="shared" ref="AB79:AB85" si="138">SUM(L63:M63)+SUM(B79:K79)</f>
        <v>0</v>
      </c>
      <c r="AC79" s="62">
        <f t="shared" ref="AC79:AC85" si="139">SUM(M63)+SUM(B79:L79)</f>
        <v>0</v>
      </c>
      <c r="AD79" s="62">
        <f>SUM(B79:M79)</f>
        <v>0</v>
      </c>
      <c r="AE79" s="63">
        <f>AVERAGE(S79:AD79)</f>
        <v>0</v>
      </c>
    </row>
    <row r="80" spans="1:32" x14ac:dyDescent="0.25">
      <c r="A80" s="40" t="s">
        <v>147</v>
      </c>
      <c r="B80" s="37"/>
      <c r="C80" s="37"/>
      <c r="D80" s="37"/>
      <c r="E80" s="37"/>
      <c r="F80" s="37"/>
      <c r="G80" s="37"/>
      <c r="H80" s="38"/>
      <c r="I80" s="37"/>
      <c r="J80" s="37"/>
      <c r="K80" s="38"/>
      <c r="L80" s="38"/>
      <c r="M80" s="37"/>
      <c r="N80" s="44">
        <f t="shared" ref="N80:N83" si="140">SUM(B80:M80)</f>
        <v>0</v>
      </c>
      <c r="O80" s="60" t="e">
        <f t="shared" si="128"/>
        <v>#DIV/0!</v>
      </c>
      <c r="R80" s="40" t="s">
        <v>147</v>
      </c>
      <c r="S80" s="37">
        <f t="shared" si="129"/>
        <v>0</v>
      </c>
      <c r="T80" s="37">
        <f t="shared" si="130"/>
        <v>0</v>
      </c>
      <c r="U80" s="61">
        <f t="shared" si="131"/>
        <v>0</v>
      </c>
      <c r="V80" s="61">
        <f t="shared" si="132"/>
        <v>0</v>
      </c>
      <c r="W80" s="61">
        <f t="shared" si="133"/>
        <v>0</v>
      </c>
      <c r="X80" s="61">
        <f t="shared" si="134"/>
        <v>0</v>
      </c>
      <c r="Y80" s="61">
        <f t="shared" si="135"/>
        <v>0</v>
      </c>
      <c r="Z80" s="61">
        <f t="shared" si="136"/>
        <v>0</v>
      </c>
      <c r="AA80" s="62">
        <f t="shared" si="137"/>
        <v>0</v>
      </c>
      <c r="AB80" s="62">
        <f t="shared" si="138"/>
        <v>0</v>
      </c>
      <c r="AC80" s="62">
        <f t="shared" si="139"/>
        <v>0</v>
      </c>
      <c r="AD80" s="62">
        <f t="shared" ref="AD80:AD86" si="141">SUM(B80:M80)</f>
        <v>0</v>
      </c>
      <c r="AE80" s="63">
        <f t="shared" ref="AE80:AE90" si="142">AVERAGE(S80:AD80)</f>
        <v>0</v>
      </c>
    </row>
    <row r="81" spans="1:31" x14ac:dyDescent="0.25">
      <c r="A81" s="40" t="s">
        <v>148</v>
      </c>
      <c r="B81" s="37"/>
      <c r="C81" s="37"/>
      <c r="D81" s="37"/>
      <c r="E81" s="37"/>
      <c r="F81" s="37"/>
      <c r="G81" s="37"/>
      <c r="H81" s="38"/>
      <c r="I81" s="37"/>
      <c r="J81" s="37"/>
      <c r="K81" s="38"/>
      <c r="L81" s="38"/>
      <c r="M81" s="37"/>
      <c r="N81" s="44">
        <f t="shared" si="140"/>
        <v>0</v>
      </c>
      <c r="O81" s="60" t="e">
        <f t="shared" si="128"/>
        <v>#DIV/0!</v>
      </c>
      <c r="R81" s="40" t="s">
        <v>148</v>
      </c>
      <c r="S81" s="37">
        <f t="shared" si="129"/>
        <v>0</v>
      </c>
      <c r="T81" s="37">
        <f t="shared" si="130"/>
        <v>0</v>
      </c>
      <c r="U81" s="61">
        <f t="shared" si="131"/>
        <v>0</v>
      </c>
      <c r="V81" s="61">
        <f t="shared" si="132"/>
        <v>0</v>
      </c>
      <c r="W81" s="61">
        <f t="shared" si="133"/>
        <v>0</v>
      </c>
      <c r="X81" s="61">
        <f t="shared" si="134"/>
        <v>0</v>
      </c>
      <c r="Y81" s="61">
        <f t="shared" si="135"/>
        <v>0</v>
      </c>
      <c r="Z81" s="61">
        <f t="shared" si="136"/>
        <v>0</v>
      </c>
      <c r="AA81" s="62">
        <f t="shared" si="137"/>
        <v>0</v>
      </c>
      <c r="AB81" s="62">
        <f t="shared" si="138"/>
        <v>0</v>
      </c>
      <c r="AC81" s="62">
        <f t="shared" si="139"/>
        <v>0</v>
      </c>
      <c r="AD81" s="62">
        <f t="shared" si="141"/>
        <v>0</v>
      </c>
      <c r="AE81" s="63">
        <f t="shared" si="142"/>
        <v>0</v>
      </c>
    </row>
    <row r="82" spans="1:31" x14ac:dyDescent="0.25">
      <c r="A82" s="40" t="s">
        <v>149</v>
      </c>
      <c r="B82" s="37"/>
      <c r="C82" s="37"/>
      <c r="D82" s="37"/>
      <c r="E82" s="37"/>
      <c r="F82" s="37"/>
      <c r="G82" s="37"/>
      <c r="H82" s="38"/>
      <c r="I82" s="37"/>
      <c r="J82" s="37"/>
      <c r="K82" s="38"/>
      <c r="L82" s="38"/>
      <c r="M82" s="37"/>
      <c r="N82" s="44">
        <f t="shared" si="140"/>
        <v>0</v>
      </c>
      <c r="O82" s="60" t="e">
        <f t="shared" si="128"/>
        <v>#DIV/0!</v>
      </c>
      <c r="R82" s="40" t="s">
        <v>149</v>
      </c>
      <c r="S82" s="37">
        <f t="shared" si="129"/>
        <v>0</v>
      </c>
      <c r="T82" s="37">
        <f t="shared" si="130"/>
        <v>0</v>
      </c>
      <c r="U82" s="61">
        <f t="shared" si="131"/>
        <v>0</v>
      </c>
      <c r="V82" s="61">
        <f t="shared" si="132"/>
        <v>0</v>
      </c>
      <c r="W82" s="61">
        <f t="shared" si="133"/>
        <v>0</v>
      </c>
      <c r="X82" s="61">
        <f t="shared" si="134"/>
        <v>0</v>
      </c>
      <c r="Y82" s="61">
        <f t="shared" si="135"/>
        <v>0</v>
      </c>
      <c r="Z82" s="61">
        <f t="shared" si="136"/>
        <v>0</v>
      </c>
      <c r="AA82" s="62">
        <f t="shared" si="137"/>
        <v>0</v>
      </c>
      <c r="AB82" s="62">
        <f t="shared" si="138"/>
        <v>0</v>
      </c>
      <c r="AC82" s="62">
        <f t="shared" si="139"/>
        <v>0</v>
      </c>
      <c r="AD82" s="62">
        <f t="shared" si="141"/>
        <v>0</v>
      </c>
      <c r="AE82" s="63">
        <f t="shared" si="142"/>
        <v>0</v>
      </c>
    </row>
    <row r="83" spans="1:31" x14ac:dyDescent="0.25">
      <c r="A83" s="40" t="s">
        <v>150</v>
      </c>
      <c r="B83" s="37"/>
      <c r="C83" s="37"/>
      <c r="D83" s="37"/>
      <c r="E83" s="37"/>
      <c r="F83" s="37"/>
      <c r="G83" s="37"/>
      <c r="H83" s="38"/>
      <c r="I83" s="37"/>
      <c r="J83" s="37"/>
      <c r="K83" s="38"/>
      <c r="L83" s="38"/>
      <c r="M83" s="37"/>
      <c r="N83" s="44">
        <f t="shared" si="140"/>
        <v>0</v>
      </c>
      <c r="O83" s="60" t="e">
        <f t="shared" si="128"/>
        <v>#DIV/0!</v>
      </c>
      <c r="R83" s="40" t="s">
        <v>150</v>
      </c>
      <c r="S83" s="37">
        <f t="shared" si="129"/>
        <v>0</v>
      </c>
      <c r="T83" s="37">
        <f t="shared" si="130"/>
        <v>0</v>
      </c>
      <c r="U83" s="61">
        <f t="shared" si="131"/>
        <v>0</v>
      </c>
      <c r="V83" s="61">
        <f t="shared" si="132"/>
        <v>0</v>
      </c>
      <c r="W83" s="61">
        <f t="shared" si="133"/>
        <v>0</v>
      </c>
      <c r="X83" s="61">
        <f t="shared" si="134"/>
        <v>0</v>
      </c>
      <c r="Y83" s="61">
        <f t="shared" si="135"/>
        <v>0</v>
      </c>
      <c r="Z83" s="61">
        <f t="shared" si="136"/>
        <v>0</v>
      </c>
      <c r="AA83" s="62">
        <f t="shared" si="137"/>
        <v>0</v>
      </c>
      <c r="AB83" s="62">
        <f t="shared" si="138"/>
        <v>0</v>
      </c>
      <c r="AC83" s="62">
        <f t="shared" si="139"/>
        <v>0</v>
      </c>
      <c r="AD83" s="62">
        <f t="shared" si="141"/>
        <v>0</v>
      </c>
      <c r="AE83" s="63">
        <f t="shared" si="142"/>
        <v>0</v>
      </c>
    </row>
    <row r="84" spans="1:31" x14ac:dyDescent="0.25">
      <c r="A84" s="36" t="s">
        <v>151</v>
      </c>
      <c r="B84" s="38"/>
      <c r="C84" s="38"/>
      <c r="D84" s="38"/>
      <c r="E84" s="37"/>
      <c r="F84" s="38"/>
      <c r="G84" s="37"/>
      <c r="H84" s="38"/>
      <c r="I84" s="37"/>
      <c r="J84" s="37"/>
      <c r="K84" s="38"/>
      <c r="L84" s="38"/>
      <c r="M84" s="37"/>
      <c r="N84" s="44">
        <f>SUM(B84:M84)</f>
        <v>0</v>
      </c>
      <c r="O84" s="60" t="e">
        <f t="shared" si="128"/>
        <v>#DIV/0!</v>
      </c>
      <c r="R84" s="36" t="s">
        <v>151</v>
      </c>
      <c r="S84" s="37">
        <f t="shared" si="129"/>
        <v>0</v>
      </c>
      <c r="T84" s="37">
        <f t="shared" si="130"/>
        <v>0</v>
      </c>
      <c r="U84" s="61">
        <f t="shared" si="131"/>
        <v>0</v>
      </c>
      <c r="V84" s="61">
        <f t="shared" si="132"/>
        <v>0</v>
      </c>
      <c r="W84" s="61">
        <f t="shared" si="133"/>
        <v>0</v>
      </c>
      <c r="X84" s="61">
        <f t="shared" si="134"/>
        <v>0</v>
      </c>
      <c r="Y84" s="61">
        <f t="shared" si="135"/>
        <v>0</v>
      </c>
      <c r="Z84" s="61">
        <f t="shared" si="136"/>
        <v>0</v>
      </c>
      <c r="AA84" s="62">
        <f t="shared" si="137"/>
        <v>0</v>
      </c>
      <c r="AB84" s="62">
        <f t="shared" si="138"/>
        <v>0</v>
      </c>
      <c r="AC84" s="62">
        <f t="shared" si="139"/>
        <v>0</v>
      </c>
      <c r="AD84" s="62">
        <f t="shared" si="141"/>
        <v>0</v>
      </c>
      <c r="AE84" s="63">
        <f t="shared" si="142"/>
        <v>0</v>
      </c>
    </row>
    <row r="85" spans="1:31" x14ac:dyDescent="0.25">
      <c r="A85" s="40" t="s">
        <v>152</v>
      </c>
      <c r="B85" s="38"/>
      <c r="C85" s="38"/>
      <c r="D85" s="38"/>
      <c r="E85" s="38"/>
      <c r="F85" s="37"/>
      <c r="G85" s="37"/>
      <c r="H85" s="38"/>
      <c r="I85" s="37"/>
      <c r="J85" s="37"/>
      <c r="K85" s="38"/>
      <c r="L85" s="38"/>
      <c r="M85" s="37"/>
      <c r="N85" s="44">
        <f>SUM(B85:M85)</f>
        <v>0</v>
      </c>
      <c r="O85" s="60" t="e">
        <f>(N85-N69)/N69</f>
        <v>#DIV/0!</v>
      </c>
      <c r="R85" s="40" t="s">
        <v>152</v>
      </c>
      <c r="S85" s="37">
        <f t="shared" si="129"/>
        <v>0</v>
      </c>
      <c r="T85" s="37">
        <f t="shared" si="130"/>
        <v>0</v>
      </c>
      <c r="U85" s="61">
        <f t="shared" si="131"/>
        <v>0</v>
      </c>
      <c r="V85" s="61">
        <f t="shared" si="132"/>
        <v>0</v>
      </c>
      <c r="W85" s="61">
        <f t="shared" si="133"/>
        <v>0</v>
      </c>
      <c r="X85" s="61">
        <f t="shared" si="134"/>
        <v>0</v>
      </c>
      <c r="Y85" s="61">
        <f t="shared" si="135"/>
        <v>0</v>
      </c>
      <c r="Z85" s="61">
        <f t="shared" si="136"/>
        <v>0</v>
      </c>
      <c r="AA85" s="62">
        <f t="shared" si="137"/>
        <v>0</v>
      </c>
      <c r="AB85" s="62">
        <f t="shared" si="138"/>
        <v>0</v>
      </c>
      <c r="AC85" s="62">
        <f t="shared" si="139"/>
        <v>0</v>
      </c>
      <c r="AD85" s="62">
        <f t="shared" si="141"/>
        <v>0</v>
      </c>
      <c r="AE85" s="63">
        <f t="shared" si="142"/>
        <v>0</v>
      </c>
    </row>
    <row r="86" spans="1:31" x14ac:dyDescent="0.25">
      <c r="A86" s="36" t="s">
        <v>124</v>
      </c>
      <c r="B86" s="38"/>
      <c r="C86" s="38"/>
      <c r="D86" s="38"/>
      <c r="E86" s="38"/>
      <c r="F86" s="37"/>
      <c r="G86" s="37"/>
      <c r="H86" s="38"/>
      <c r="I86" s="37"/>
      <c r="J86" s="37"/>
      <c r="K86" s="38"/>
      <c r="L86" s="38"/>
      <c r="M86" s="37"/>
      <c r="N86" s="44">
        <f t="shared" ref="N86:N90" si="143">SUM(B86:M86)</f>
        <v>0</v>
      </c>
      <c r="O86" s="60" t="e">
        <f>(N86-N74)/N74</f>
        <v>#DIV/0!</v>
      </c>
      <c r="R86" s="36" t="s">
        <v>124</v>
      </c>
      <c r="S86" s="37">
        <f t="shared" ref="S86" si="144">SUM(C70:M70)+B86</f>
        <v>0</v>
      </c>
      <c r="T86" s="37">
        <f t="shared" ref="T86" si="145">SUM(D70:M70)+SUM(B86:C86)</f>
        <v>0</v>
      </c>
      <c r="U86" s="61">
        <f t="shared" ref="U86" si="146">SUM(E70:M70)+SUM(B86:D86)</f>
        <v>0</v>
      </c>
      <c r="V86" s="61">
        <f t="shared" ref="V86" si="147">SUM(F70:M70)+SUM(B86:E86)</f>
        <v>0</v>
      </c>
      <c r="W86" s="61">
        <f t="shared" ref="W86" si="148">SUM(G70:M70)+SUM(B86:F86)</f>
        <v>0</v>
      </c>
      <c r="X86" s="61">
        <f t="shared" ref="X86" si="149">SUM(H70:M70)+SUM(B86:G86)</f>
        <v>0</v>
      </c>
      <c r="Y86" s="61">
        <f t="shared" ref="Y86" si="150">SUM(I70:M70)+SUM(B86:H86)</f>
        <v>0</v>
      </c>
      <c r="Z86" s="61">
        <f t="shared" ref="Z86" si="151">SUM(J70:M70)+SUM(B86:I86)</f>
        <v>0</v>
      </c>
      <c r="AA86" s="62">
        <f t="shared" ref="AA86" si="152">SUM(K70:M70)+SUM(B86:J86)</f>
        <v>0</v>
      </c>
      <c r="AB86" s="62">
        <f t="shared" ref="AB86" si="153">SUM(L70:M70)+SUM(B86:K86)</f>
        <v>0</v>
      </c>
      <c r="AC86" s="62">
        <f t="shared" ref="AC86" si="154">SUM(M70)+SUM(B86:L86)</f>
        <v>0</v>
      </c>
      <c r="AD86" s="62">
        <f t="shared" si="141"/>
        <v>0</v>
      </c>
      <c r="AE86" s="63">
        <f t="shared" si="142"/>
        <v>0</v>
      </c>
    </row>
    <row r="87" spans="1:31" x14ac:dyDescent="0.25">
      <c r="A87" s="40" t="s">
        <v>126</v>
      </c>
      <c r="B87" s="38"/>
      <c r="C87" s="38"/>
      <c r="D87" s="38"/>
      <c r="E87" s="38"/>
      <c r="F87" s="37"/>
      <c r="G87" s="37"/>
      <c r="H87" s="38"/>
      <c r="I87" s="37"/>
      <c r="J87" s="37"/>
      <c r="K87" s="38"/>
      <c r="L87" s="38"/>
      <c r="M87" s="37"/>
      <c r="N87" s="44">
        <f t="shared" si="143"/>
        <v>0</v>
      </c>
      <c r="O87" s="60"/>
      <c r="R87" s="40" t="s">
        <v>126</v>
      </c>
      <c r="S87" s="37"/>
      <c r="T87" s="37"/>
      <c r="U87" s="61"/>
      <c r="V87" s="61"/>
      <c r="W87" s="61"/>
      <c r="X87" s="61"/>
      <c r="Y87" s="61"/>
      <c r="Z87" s="61"/>
      <c r="AA87" s="62"/>
      <c r="AB87" s="62"/>
      <c r="AC87" s="62"/>
      <c r="AD87" s="62"/>
      <c r="AE87" s="63"/>
    </row>
    <row r="88" spans="1:31" x14ac:dyDescent="0.25">
      <c r="A88" s="36" t="s">
        <v>153</v>
      </c>
      <c r="B88" s="38"/>
      <c r="C88" s="38"/>
      <c r="D88" s="38"/>
      <c r="E88" s="38"/>
      <c r="F88" s="37"/>
      <c r="G88" s="37"/>
      <c r="H88" s="38"/>
      <c r="I88" s="37"/>
      <c r="J88" s="37"/>
      <c r="K88" s="38"/>
      <c r="L88" s="38"/>
      <c r="M88" s="37"/>
      <c r="N88" s="44">
        <f t="shared" si="143"/>
        <v>0</v>
      </c>
      <c r="O88" s="60"/>
      <c r="R88" s="36" t="s">
        <v>153</v>
      </c>
      <c r="S88" s="37"/>
      <c r="T88" s="37"/>
      <c r="U88" s="61"/>
      <c r="V88" s="61"/>
      <c r="W88" s="61"/>
      <c r="X88" s="61"/>
      <c r="Y88" s="61"/>
      <c r="Z88" s="61"/>
      <c r="AA88" s="62"/>
      <c r="AB88" s="62"/>
      <c r="AC88" s="62"/>
      <c r="AD88" s="62"/>
      <c r="AE88" s="63"/>
    </row>
    <row r="89" spans="1:31" x14ac:dyDescent="0.25">
      <c r="A89" s="40" t="s">
        <v>154</v>
      </c>
      <c r="B89" s="38"/>
      <c r="C89" s="38"/>
      <c r="D89" s="38"/>
      <c r="E89" s="38"/>
      <c r="F89" s="37"/>
      <c r="G89" s="37"/>
      <c r="H89" s="38"/>
      <c r="I89" s="37"/>
      <c r="J89" s="37"/>
      <c r="K89" s="38"/>
      <c r="L89" s="38"/>
      <c r="M89" s="37"/>
      <c r="N89" s="44">
        <f t="shared" si="143"/>
        <v>0</v>
      </c>
      <c r="O89" s="60"/>
      <c r="R89" s="40" t="s">
        <v>154</v>
      </c>
      <c r="S89" s="37"/>
      <c r="T89" s="37"/>
      <c r="U89" s="61"/>
      <c r="V89" s="61"/>
      <c r="W89" s="61"/>
      <c r="X89" s="61"/>
      <c r="Y89" s="61"/>
      <c r="Z89" s="61"/>
      <c r="AA89" s="62"/>
      <c r="AB89" s="62"/>
      <c r="AC89" s="62"/>
      <c r="AD89" s="62"/>
      <c r="AE89" s="63"/>
    </row>
    <row r="90" spans="1:31" x14ac:dyDescent="0.25">
      <c r="A90" s="41" t="s">
        <v>11</v>
      </c>
      <c r="B90" s="42">
        <f t="shared" ref="B90:M90" si="155">SUM(B79:B86)</f>
        <v>0</v>
      </c>
      <c r="C90" s="42">
        <f t="shared" si="155"/>
        <v>0</v>
      </c>
      <c r="D90" s="42">
        <f t="shared" si="155"/>
        <v>0</v>
      </c>
      <c r="E90" s="42">
        <f t="shared" si="155"/>
        <v>0</v>
      </c>
      <c r="F90" s="42">
        <f t="shared" si="155"/>
        <v>0</v>
      </c>
      <c r="G90" s="42">
        <f t="shared" si="155"/>
        <v>0</v>
      </c>
      <c r="H90" s="42">
        <f t="shared" si="155"/>
        <v>0</v>
      </c>
      <c r="I90" s="42">
        <f t="shared" si="155"/>
        <v>0</v>
      </c>
      <c r="J90" s="42">
        <f t="shared" si="155"/>
        <v>0</v>
      </c>
      <c r="K90" s="42">
        <f t="shared" si="155"/>
        <v>0</v>
      </c>
      <c r="L90" s="42">
        <f t="shared" si="155"/>
        <v>0</v>
      </c>
      <c r="M90" s="42">
        <f t="shared" si="155"/>
        <v>0</v>
      </c>
      <c r="N90" s="47">
        <f t="shared" si="143"/>
        <v>0</v>
      </c>
      <c r="O90" s="60">
        <f>(N90-N75)/N75</f>
        <v>-1</v>
      </c>
      <c r="R90" s="41" t="s">
        <v>11</v>
      </c>
      <c r="S90" s="42">
        <f t="shared" ref="S90:AD90" si="156">SUM(S79:S86)</f>
        <v>0</v>
      </c>
      <c r="T90" s="42">
        <f t="shared" si="156"/>
        <v>0</v>
      </c>
      <c r="U90" s="64">
        <f t="shared" si="156"/>
        <v>0</v>
      </c>
      <c r="V90" s="64">
        <f t="shared" si="156"/>
        <v>0</v>
      </c>
      <c r="W90" s="64">
        <f t="shared" si="156"/>
        <v>0</v>
      </c>
      <c r="X90" s="64">
        <f t="shared" si="156"/>
        <v>0</v>
      </c>
      <c r="Y90" s="64">
        <f t="shared" si="156"/>
        <v>0</v>
      </c>
      <c r="Z90" s="64">
        <f t="shared" si="156"/>
        <v>0</v>
      </c>
      <c r="AA90" s="65">
        <f t="shared" si="156"/>
        <v>0</v>
      </c>
      <c r="AB90" s="65">
        <f t="shared" si="156"/>
        <v>0</v>
      </c>
      <c r="AC90" s="65">
        <f t="shared" si="156"/>
        <v>0</v>
      </c>
      <c r="AD90" s="65">
        <f t="shared" si="156"/>
        <v>0</v>
      </c>
      <c r="AE90" s="66">
        <f t="shared" si="142"/>
        <v>0</v>
      </c>
    </row>
    <row r="91" spans="1:31" x14ac:dyDescent="0.25">
      <c r="A91" s="48" t="s">
        <v>130</v>
      </c>
      <c r="B91" s="51">
        <f>B90-B74</f>
        <v>0</v>
      </c>
      <c r="C91" s="51">
        <f>C90-C74</f>
        <v>0</v>
      </c>
      <c r="D91" s="51"/>
      <c r="E91" s="51"/>
      <c r="F91" s="49"/>
      <c r="G91" s="49"/>
      <c r="H91" s="51"/>
      <c r="I91" s="51"/>
      <c r="J91" s="67"/>
      <c r="K91" s="67"/>
      <c r="L91" s="67"/>
      <c r="M91" s="67"/>
      <c r="N91" s="50">
        <f>SUM(B91:M91)</f>
        <v>0</v>
      </c>
      <c r="O91" s="57"/>
      <c r="R91" s="48" t="s">
        <v>130</v>
      </c>
      <c r="S91" s="51" t="s">
        <v>145</v>
      </c>
      <c r="T91" s="51">
        <f t="shared" ref="T91:Y91" si="157">T90-T75</f>
        <v>6249.6499999999978</v>
      </c>
      <c r="U91" s="68">
        <f t="shared" si="157"/>
        <v>4359.43</v>
      </c>
      <c r="V91" s="68">
        <f t="shared" si="157"/>
        <v>2422.8000000000029</v>
      </c>
      <c r="W91" s="68">
        <f t="shared" si="157"/>
        <v>-2135.5699999999997</v>
      </c>
      <c r="X91" s="68">
        <f t="shared" si="157"/>
        <v>-4078.1099999999951</v>
      </c>
      <c r="Y91" s="68">
        <f t="shared" si="157"/>
        <v>-7456.279999999997</v>
      </c>
      <c r="Z91" s="68">
        <f>Z90-Z75</f>
        <v>-9561.0899999999965</v>
      </c>
      <c r="AA91" s="67">
        <f t="shared" ref="AA91:AE91" si="158">AA90-AA75</f>
        <v>-12316.8</v>
      </c>
      <c r="AB91" s="67">
        <f t="shared" si="158"/>
        <v>-14518.139999999998</v>
      </c>
      <c r="AC91" s="67">
        <f t="shared" si="158"/>
        <v>-16247.019999999999</v>
      </c>
      <c r="AD91" s="67">
        <f t="shared" si="158"/>
        <v>-67221.139211847127</v>
      </c>
      <c r="AE91" s="69">
        <f t="shared" si="158"/>
        <v>-9628.2566009872571</v>
      </c>
    </row>
    <row r="92" spans="1:31" x14ac:dyDescent="0.25">
      <c r="C92" s="59"/>
      <c r="G92" s="59"/>
      <c r="H92" s="59"/>
      <c r="X92" s="59"/>
      <c r="Y92" s="59"/>
      <c r="Z92" s="59">
        <f>AVERAGE(S91:Z91)</f>
        <v>-1457.0242857142839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E845-0742-4C83-B454-2FD9B52DBB51}">
  <dimension ref="A1:M285"/>
  <sheetViews>
    <sheetView topLeftCell="A63" workbookViewId="0">
      <selection activeCell="H6" sqref="H6"/>
    </sheetView>
  </sheetViews>
  <sheetFormatPr defaultRowHeight="15" x14ac:dyDescent="0.25"/>
  <cols>
    <col min="1" max="1" width="10.7109375" bestFit="1" customWidth="1"/>
    <col min="2" max="2" width="36.42578125" customWidth="1"/>
    <col min="3" max="3" width="26.140625" customWidth="1"/>
    <col min="4" max="4" width="41.7109375" customWidth="1"/>
    <col min="5" max="5" width="19.85546875" bestFit="1" customWidth="1"/>
    <col min="6" max="6" width="9.5703125" bestFit="1" customWidth="1"/>
    <col min="7" max="7" width="13.42578125" bestFit="1" customWidth="1"/>
    <col min="8" max="8" width="15.85546875" bestFit="1" customWidth="1"/>
    <col min="9" max="9" width="12.140625" bestFit="1" customWidth="1"/>
    <col min="10" max="10" width="20.140625" customWidth="1"/>
    <col min="11" max="12" width="9.5703125" bestFit="1" customWidth="1"/>
  </cols>
  <sheetData>
    <row r="1" spans="1:13" x14ac:dyDescent="0.25">
      <c r="A1" s="1" t="s">
        <v>50</v>
      </c>
    </row>
    <row r="3" spans="1:13" x14ac:dyDescent="0.25">
      <c r="A3" s="111" t="s">
        <v>117</v>
      </c>
      <c r="B3" s="112"/>
      <c r="C3" s="100" t="s">
        <v>7</v>
      </c>
      <c r="D3" s="101"/>
      <c r="E3" s="101"/>
      <c r="F3" s="101"/>
      <c r="G3" s="101"/>
      <c r="H3" s="102"/>
      <c r="I3" s="103" t="s">
        <v>8</v>
      </c>
      <c r="J3" s="102"/>
      <c r="K3" s="104" t="s">
        <v>12</v>
      </c>
      <c r="L3" s="105"/>
    </row>
    <row r="4" spans="1:13" x14ac:dyDescent="0.25">
      <c r="A4" s="106"/>
      <c r="B4" s="107"/>
      <c r="C4" s="4" t="s">
        <v>4</v>
      </c>
      <c r="D4" s="5" t="s">
        <v>5</v>
      </c>
      <c r="E4" s="5" t="s">
        <v>3</v>
      </c>
      <c r="F4" s="5" t="s">
        <v>2</v>
      </c>
      <c r="G4" s="5" t="s">
        <v>6</v>
      </c>
      <c r="H4" s="6" t="s">
        <v>1</v>
      </c>
      <c r="I4" s="7" t="s">
        <v>2</v>
      </c>
      <c r="J4" s="8" t="s">
        <v>1</v>
      </c>
      <c r="K4" s="9" t="s">
        <v>2</v>
      </c>
      <c r="L4" s="5" t="s">
        <v>1</v>
      </c>
    </row>
    <row r="5" spans="1:13" ht="15.75" thickBot="1" x14ac:dyDescent="0.3">
      <c r="A5" s="109" t="s">
        <v>51</v>
      </c>
      <c r="B5" s="110"/>
      <c r="C5" s="2">
        <v>2023</v>
      </c>
      <c r="D5" s="2">
        <v>2024</v>
      </c>
      <c r="E5" s="2">
        <v>2024</v>
      </c>
      <c r="F5" s="2">
        <v>2023</v>
      </c>
      <c r="G5" s="2">
        <v>2024</v>
      </c>
      <c r="H5" s="2">
        <v>2024</v>
      </c>
      <c r="I5" s="2">
        <v>2023</v>
      </c>
      <c r="J5" s="2">
        <v>2024</v>
      </c>
      <c r="K5" s="3">
        <v>2023</v>
      </c>
      <c r="L5" s="2">
        <v>2022</v>
      </c>
    </row>
    <row r="6" spans="1:13" ht="15.75" thickTop="1" x14ac:dyDescent="0.25">
      <c r="A6" s="106" t="s">
        <v>49</v>
      </c>
      <c r="B6" s="107"/>
      <c r="C6" s="23">
        <v>535</v>
      </c>
      <c r="D6" s="16">
        <v>108</v>
      </c>
      <c r="E6" s="16">
        <v>165.75</v>
      </c>
      <c r="F6" s="16">
        <v>956</v>
      </c>
      <c r="G6" s="16">
        <v>216</v>
      </c>
      <c r="H6" s="16">
        <v>2973.5</v>
      </c>
      <c r="I6" s="16">
        <v>667.17</v>
      </c>
      <c r="J6" s="16">
        <v>1393</v>
      </c>
      <c r="K6" s="16">
        <v>0</v>
      </c>
      <c r="L6" s="16">
        <v>737.83</v>
      </c>
    </row>
    <row r="7" spans="1:13" x14ac:dyDescent="0.25">
      <c r="A7" s="108" t="s">
        <v>53</v>
      </c>
      <c r="B7" s="108"/>
      <c r="C7" s="27">
        <v>0</v>
      </c>
      <c r="D7" s="28">
        <v>0</v>
      </c>
      <c r="E7" s="28">
        <v>0</v>
      </c>
      <c r="F7" s="28">
        <v>0</v>
      </c>
      <c r="G7" s="28">
        <v>0</v>
      </c>
      <c r="H7" s="28">
        <v>1924</v>
      </c>
      <c r="I7" s="28">
        <v>0</v>
      </c>
      <c r="J7" s="28">
        <v>0</v>
      </c>
      <c r="K7" s="28">
        <v>0</v>
      </c>
      <c r="L7" s="28">
        <v>100</v>
      </c>
    </row>
    <row r="8" spans="1:13" x14ac:dyDescent="0.25">
      <c r="A8" s="108" t="s">
        <v>52</v>
      </c>
      <c r="B8" s="108"/>
      <c r="C8" s="24">
        <f>C6-C7</f>
        <v>535</v>
      </c>
      <c r="D8" s="17">
        <f t="shared" ref="D8:L8" si="0">D6-D7</f>
        <v>108</v>
      </c>
      <c r="E8" s="17">
        <f t="shared" si="0"/>
        <v>165.75</v>
      </c>
      <c r="F8" s="17">
        <f t="shared" si="0"/>
        <v>956</v>
      </c>
      <c r="G8" s="17">
        <f t="shared" si="0"/>
        <v>216</v>
      </c>
      <c r="H8" s="17">
        <f t="shared" si="0"/>
        <v>1049.5</v>
      </c>
      <c r="I8" s="17">
        <f t="shared" si="0"/>
        <v>667.17</v>
      </c>
      <c r="J8" s="17">
        <f t="shared" si="0"/>
        <v>1393</v>
      </c>
      <c r="K8" s="17">
        <f t="shared" si="0"/>
        <v>0</v>
      </c>
      <c r="L8" s="17">
        <f t="shared" si="0"/>
        <v>637.83000000000004</v>
      </c>
    </row>
    <row r="9" spans="1:13" x14ac:dyDescent="0.25">
      <c r="A9" s="108" t="s">
        <v>77</v>
      </c>
      <c r="B9" s="108"/>
      <c r="C9" s="24">
        <v>168.82</v>
      </c>
      <c r="D9" s="17">
        <v>358</v>
      </c>
      <c r="E9" s="17">
        <v>223.85</v>
      </c>
      <c r="F9" s="17">
        <v>423.23</v>
      </c>
      <c r="G9" s="17">
        <v>124.83</v>
      </c>
      <c r="H9" s="17">
        <v>13099</v>
      </c>
      <c r="I9" s="17">
        <v>368</v>
      </c>
      <c r="J9" s="17">
        <v>8801.02</v>
      </c>
      <c r="K9" s="17">
        <v>0</v>
      </c>
      <c r="L9" s="17">
        <v>134.66</v>
      </c>
    </row>
    <row r="10" spans="1:13" x14ac:dyDescent="0.25">
      <c r="A10" s="108" t="s">
        <v>54</v>
      </c>
      <c r="B10" s="108"/>
      <c r="C10" s="25">
        <f>C9/12</f>
        <v>14.068333333333333</v>
      </c>
      <c r="D10" s="18">
        <f t="shared" ref="D10:L10" si="1">D9/12</f>
        <v>29.833333333333332</v>
      </c>
      <c r="E10" s="18">
        <f t="shared" si="1"/>
        <v>18.654166666666665</v>
      </c>
      <c r="F10" s="18">
        <f t="shared" si="1"/>
        <v>35.269166666666671</v>
      </c>
      <c r="G10" s="18">
        <f t="shared" si="1"/>
        <v>10.4025</v>
      </c>
      <c r="H10" s="18">
        <f t="shared" si="1"/>
        <v>1091.5833333333333</v>
      </c>
      <c r="I10" s="18">
        <f t="shared" si="1"/>
        <v>30.666666666666668</v>
      </c>
      <c r="J10" s="18">
        <f t="shared" si="1"/>
        <v>733.41833333333341</v>
      </c>
      <c r="K10" s="18">
        <f t="shared" si="1"/>
        <v>0</v>
      </c>
      <c r="L10" s="18">
        <f t="shared" si="1"/>
        <v>11.221666666666666</v>
      </c>
    </row>
    <row r="11" spans="1:13" x14ac:dyDescent="0.25">
      <c r="A11" s="108" t="s">
        <v>55</v>
      </c>
      <c r="B11" s="108"/>
      <c r="C11" s="26">
        <f>C8/C10</f>
        <v>38.028669588911264</v>
      </c>
      <c r="D11" s="21">
        <f t="shared" ref="D11:L11" si="2">D8/D10</f>
        <v>3.6201117318435756</v>
      </c>
      <c r="E11" s="19">
        <f t="shared" si="2"/>
        <v>8.8854143399597945</v>
      </c>
      <c r="F11" s="19">
        <f t="shared" si="2"/>
        <v>27.105828981877462</v>
      </c>
      <c r="G11" s="19">
        <f t="shared" si="2"/>
        <v>20.764239365537129</v>
      </c>
      <c r="H11" s="19">
        <f t="shared" si="2"/>
        <v>0.96144743873578142</v>
      </c>
      <c r="I11" s="19">
        <f t="shared" si="2"/>
        <v>21.755543478260869</v>
      </c>
      <c r="J11" s="19">
        <f t="shared" si="2"/>
        <v>1.899325305475956</v>
      </c>
      <c r="K11" s="21" t="e">
        <f t="shared" si="2"/>
        <v>#DIV/0!</v>
      </c>
      <c r="L11" s="19">
        <f t="shared" si="2"/>
        <v>56.839150452992733</v>
      </c>
    </row>
    <row r="12" spans="1:13" x14ac:dyDescent="0.25">
      <c r="A12" s="108" t="s">
        <v>56</v>
      </c>
      <c r="B12" s="108"/>
      <c r="C12" s="10">
        <v>46143</v>
      </c>
      <c r="D12" s="22">
        <v>45505</v>
      </c>
      <c r="E12" s="22">
        <v>45778</v>
      </c>
      <c r="F12" s="20" t="s">
        <v>57</v>
      </c>
      <c r="G12" s="22">
        <v>45566</v>
      </c>
      <c r="H12" s="22">
        <v>45536</v>
      </c>
      <c r="I12" s="22">
        <v>46143</v>
      </c>
      <c r="J12" s="22">
        <v>45627</v>
      </c>
      <c r="K12" s="22">
        <v>45474</v>
      </c>
      <c r="L12" s="20" t="s">
        <v>57</v>
      </c>
      <c r="M12" s="31" t="s">
        <v>118</v>
      </c>
    </row>
    <row r="13" spans="1:13" x14ac:dyDescent="0.25">
      <c r="F13" s="32" t="s">
        <v>119</v>
      </c>
      <c r="I13" s="32" t="s">
        <v>120</v>
      </c>
    </row>
    <row r="15" spans="1:13" x14ac:dyDescent="0.25">
      <c r="A15" s="1" t="s">
        <v>58</v>
      </c>
      <c r="C15" s="13"/>
    </row>
    <row r="16" spans="1:13" x14ac:dyDescent="0.25">
      <c r="A16" s="1" t="s">
        <v>59</v>
      </c>
    </row>
    <row r="17" spans="1:5" x14ac:dyDescent="0.25">
      <c r="A17" s="1" t="s">
        <v>61</v>
      </c>
      <c r="C17" s="13"/>
    </row>
    <row r="18" spans="1:5" x14ac:dyDescent="0.25">
      <c r="A18" s="98" t="s">
        <v>116</v>
      </c>
      <c r="B18" s="99" t="s">
        <v>60</v>
      </c>
      <c r="C18" s="13"/>
      <c r="D18" s="13"/>
    </row>
    <row r="19" spans="1:5" ht="25.5" x14ac:dyDescent="0.25">
      <c r="A19" s="13"/>
      <c r="B19" s="13"/>
      <c r="C19" s="13"/>
      <c r="D19" s="13"/>
      <c r="E19" s="29" t="s">
        <v>78</v>
      </c>
    </row>
    <row r="20" spans="1:5" x14ac:dyDescent="0.25">
      <c r="A20" s="29" t="s">
        <v>62</v>
      </c>
      <c r="B20" s="29" t="s">
        <v>79</v>
      </c>
      <c r="C20" s="29" t="s">
        <v>63</v>
      </c>
      <c r="D20" s="29" t="s">
        <v>64</v>
      </c>
      <c r="E20" s="29" t="s">
        <v>65</v>
      </c>
    </row>
    <row r="21" spans="1:5" x14ac:dyDescent="0.25">
      <c r="A21" s="11" t="s">
        <v>0</v>
      </c>
      <c r="B21" s="14" t="s">
        <v>0</v>
      </c>
      <c r="C21" s="14" t="s">
        <v>0</v>
      </c>
      <c r="D21" s="14" t="s">
        <v>0</v>
      </c>
      <c r="E21" s="15">
        <v>4865.5000040000004</v>
      </c>
    </row>
    <row r="22" spans="1:5" x14ac:dyDescent="0.25">
      <c r="A22" s="11" t="s">
        <v>13</v>
      </c>
      <c r="B22" s="11" t="s">
        <v>0</v>
      </c>
      <c r="C22" s="14" t="s">
        <v>0</v>
      </c>
      <c r="D22" s="14" t="s">
        <v>0</v>
      </c>
      <c r="E22" s="15">
        <v>2625.2499990000001</v>
      </c>
    </row>
    <row r="23" spans="1:5" x14ac:dyDescent="0.25">
      <c r="A23" s="30" t="s">
        <v>13</v>
      </c>
      <c r="B23" s="11" t="s">
        <v>80</v>
      </c>
      <c r="C23" s="11" t="s">
        <v>0</v>
      </c>
      <c r="D23" s="14" t="s">
        <v>0</v>
      </c>
      <c r="E23" s="15">
        <v>1275</v>
      </c>
    </row>
    <row r="24" spans="1:5" x14ac:dyDescent="0.25">
      <c r="A24" s="30" t="s">
        <v>13</v>
      </c>
      <c r="B24" s="30" t="s">
        <v>80</v>
      </c>
      <c r="C24" s="11" t="s">
        <v>15</v>
      </c>
      <c r="D24" s="11" t="s">
        <v>0</v>
      </c>
      <c r="E24" s="15">
        <v>554</v>
      </c>
    </row>
    <row r="25" spans="1:5" x14ac:dyDescent="0.25">
      <c r="A25" s="30" t="s">
        <v>13</v>
      </c>
      <c r="B25" s="30" t="s">
        <v>80</v>
      </c>
      <c r="C25" s="30" t="s">
        <v>15</v>
      </c>
      <c r="D25" s="11" t="s">
        <v>66</v>
      </c>
      <c r="E25" s="12">
        <v>469</v>
      </c>
    </row>
    <row r="26" spans="1:5" x14ac:dyDescent="0.25">
      <c r="A26" s="30" t="s">
        <v>13</v>
      </c>
      <c r="B26" s="30" t="s">
        <v>80</v>
      </c>
      <c r="C26" s="30" t="s">
        <v>15</v>
      </c>
      <c r="D26" s="11" t="s">
        <v>67</v>
      </c>
      <c r="E26" s="12">
        <v>27</v>
      </c>
    </row>
    <row r="27" spans="1:5" x14ac:dyDescent="0.25">
      <c r="A27" s="30" t="s">
        <v>13</v>
      </c>
      <c r="B27" s="30" t="s">
        <v>80</v>
      </c>
      <c r="C27" s="30" t="s">
        <v>15</v>
      </c>
      <c r="D27" s="11" t="s">
        <v>70</v>
      </c>
      <c r="E27" s="12">
        <v>22</v>
      </c>
    </row>
    <row r="28" spans="1:5" x14ac:dyDescent="0.25">
      <c r="A28" s="30" t="s">
        <v>13</v>
      </c>
      <c r="B28" s="30" t="s">
        <v>80</v>
      </c>
      <c r="C28" s="30" t="s">
        <v>15</v>
      </c>
      <c r="D28" s="11" t="s">
        <v>73</v>
      </c>
      <c r="E28" s="12">
        <v>18</v>
      </c>
    </row>
    <row r="29" spans="1:5" x14ac:dyDescent="0.25">
      <c r="A29" s="30" t="s">
        <v>13</v>
      </c>
      <c r="B29" s="30" t="s">
        <v>80</v>
      </c>
      <c r="C29" s="30" t="s">
        <v>15</v>
      </c>
      <c r="D29" s="11" t="s">
        <v>71</v>
      </c>
      <c r="E29" s="12">
        <v>9</v>
      </c>
    </row>
    <row r="30" spans="1:5" x14ac:dyDescent="0.25">
      <c r="A30" s="30" t="s">
        <v>13</v>
      </c>
      <c r="B30" s="30" t="s">
        <v>80</v>
      </c>
      <c r="C30" s="30" t="s">
        <v>15</v>
      </c>
      <c r="D30" s="11" t="s">
        <v>69</v>
      </c>
      <c r="E30" s="12">
        <v>6</v>
      </c>
    </row>
    <row r="31" spans="1:5" x14ac:dyDescent="0.25">
      <c r="A31" s="30" t="s">
        <v>13</v>
      </c>
      <c r="B31" s="30" t="s">
        <v>80</v>
      </c>
      <c r="C31" s="30" t="s">
        <v>15</v>
      </c>
      <c r="D31" s="11" t="s">
        <v>76</v>
      </c>
      <c r="E31" s="12">
        <v>3</v>
      </c>
    </row>
    <row r="32" spans="1:5" x14ac:dyDescent="0.25">
      <c r="A32" s="30" t="s">
        <v>13</v>
      </c>
      <c r="B32" s="30" t="s">
        <v>80</v>
      </c>
      <c r="C32" s="11" t="s">
        <v>14</v>
      </c>
      <c r="D32" s="11" t="s">
        <v>0</v>
      </c>
      <c r="E32" s="12">
        <v>721</v>
      </c>
    </row>
    <row r="33" spans="1:5" x14ac:dyDescent="0.25">
      <c r="A33" s="30" t="s">
        <v>13</v>
      </c>
      <c r="B33" s="30" t="s">
        <v>80</v>
      </c>
      <c r="C33" s="30" t="s">
        <v>14</v>
      </c>
      <c r="D33" s="11" t="s">
        <v>66</v>
      </c>
      <c r="E33" s="12">
        <v>390</v>
      </c>
    </row>
    <row r="34" spans="1:5" x14ac:dyDescent="0.25">
      <c r="A34" s="30" t="s">
        <v>13</v>
      </c>
      <c r="B34" s="30" t="s">
        <v>80</v>
      </c>
      <c r="C34" s="30" t="s">
        <v>14</v>
      </c>
      <c r="D34" s="11" t="s">
        <v>67</v>
      </c>
      <c r="E34" s="12">
        <v>198</v>
      </c>
    </row>
    <row r="35" spans="1:5" x14ac:dyDescent="0.25">
      <c r="A35" s="30" t="s">
        <v>13</v>
      </c>
      <c r="B35" s="30" t="s">
        <v>80</v>
      </c>
      <c r="C35" s="30" t="s">
        <v>14</v>
      </c>
      <c r="D35" s="11" t="s">
        <v>70</v>
      </c>
      <c r="E35" s="12">
        <v>50</v>
      </c>
    </row>
    <row r="36" spans="1:5" x14ac:dyDescent="0.25">
      <c r="A36" s="30" t="s">
        <v>13</v>
      </c>
      <c r="B36" s="30" t="s">
        <v>80</v>
      </c>
      <c r="C36" s="30" t="s">
        <v>14</v>
      </c>
      <c r="D36" s="11" t="s">
        <v>73</v>
      </c>
      <c r="E36" s="12">
        <v>26</v>
      </c>
    </row>
    <row r="37" spans="1:5" x14ac:dyDescent="0.25">
      <c r="A37" s="30" t="s">
        <v>13</v>
      </c>
      <c r="B37" s="30" t="s">
        <v>80</v>
      </c>
      <c r="C37" s="30" t="s">
        <v>14</v>
      </c>
      <c r="D37" s="11" t="s">
        <v>76</v>
      </c>
      <c r="E37" s="12">
        <v>22</v>
      </c>
    </row>
    <row r="38" spans="1:5" x14ac:dyDescent="0.25">
      <c r="A38" s="30" t="s">
        <v>13</v>
      </c>
      <c r="B38" s="30" t="s">
        <v>80</v>
      </c>
      <c r="C38" s="30" t="s">
        <v>14</v>
      </c>
      <c r="D38" s="11" t="s">
        <v>71</v>
      </c>
      <c r="E38" s="12">
        <v>21</v>
      </c>
    </row>
    <row r="39" spans="1:5" x14ac:dyDescent="0.25">
      <c r="A39" s="30" t="s">
        <v>13</v>
      </c>
      <c r="B39" s="30" t="s">
        <v>80</v>
      </c>
      <c r="C39" s="30" t="s">
        <v>14</v>
      </c>
      <c r="D39" s="11" t="s">
        <v>69</v>
      </c>
      <c r="E39" s="12">
        <v>14</v>
      </c>
    </row>
    <row r="40" spans="1:5" x14ac:dyDescent="0.25">
      <c r="A40" s="30" t="s">
        <v>13</v>
      </c>
      <c r="B40" s="11" t="s">
        <v>81</v>
      </c>
      <c r="C40" s="11" t="s">
        <v>0</v>
      </c>
      <c r="D40" s="14" t="s">
        <v>0</v>
      </c>
      <c r="E40" s="12">
        <v>857.08333300000004</v>
      </c>
    </row>
    <row r="41" spans="1:5" x14ac:dyDescent="0.25">
      <c r="A41" s="30" t="s">
        <v>13</v>
      </c>
      <c r="B41" s="30" t="s">
        <v>81</v>
      </c>
      <c r="C41" s="11" t="s">
        <v>75</v>
      </c>
      <c r="D41" s="11" t="s">
        <v>0</v>
      </c>
      <c r="E41" s="12">
        <v>857.08333300000004</v>
      </c>
    </row>
    <row r="42" spans="1:5" x14ac:dyDescent="0.25">
      <c r="A42" s="30" t="s">
        <v>13</v>
      </c>
      <c r="B42" s="30" t="s">
        <v>81</v>
      </c>
      <c r="C42" s="30" t="s">
        <v>75</v>
      </c>
      <c r="D42" s="11" t="s">
        <v>66</v>
      </c>
      <c r="E42" s="12">
        <v>516.83333300000004</v>
      </c>
    </row>
    <row r="43" spans="1:5" x14ac:dyDescent="0.25">
      <c r="A43" s="30" t="s">
        <v>13</v>
      </c>
      <c r="B43" s="30" t="s">
        <v>81</v>
      </c>
      <c r="C43" s="30" t="s">
        <v>75</v>
      </c>
      <c r="D43" s="11" t="s">
        <v>67</v>
      </c>
      <c r="E43" s="12">
        <v>330.91666700000002</v>
      </c>
    </row>
    <row r="44" spans="1:5" x14ac:dyDescent="0.25">
      <c r="A44" s="30" t="s">
        <v>13</v>
      </c>
      <c r="B44" s="30" t="s">
        <v>81</v>
      </c>
      <c r="C44" s="30" t="s">
        <v>75</v>
      </c>
      <c r="D44" s="11" t="s">
        <v>71</v>
      </c>
      <c r="E44" s="12">
        <v>4.0833329999999997</v>
      </c>
    </row>
    <row r="45" spans="1:5" x14ac:dyDescent="0.25">
      <c r="A45" s="30" t="s">
        <v>13</v>
      </c>
      <c r="B45" s="30" t="s">
        <v>81</v>
      </c>
      <c r="C45" s="30" t="s">
        <v>75</v>
      </c>
      <c r="D45" s="11" t="s">
        <v>73</v>
      </c>
      <c r="E45" s="12">
        <v>4.0833329999999997</v>
      </c>
    </row>
    <row r="46" spans="1:5" x14ac:dyDescent="0.25">
      <c r="A46" s="30" t="s">
        <v>13</v>
      </c>
      <c r="B46" s="30" t="s">
        <v>81</v>
      </c>
      <c r="C46" s="30" t="s">
        <v>75</v>
      </c>
      <c r="D46" s="11" t="s">
        <v>70</v>
      </c>
      <c r="E46" s="12">
        <v>1.1666669999999999</v>
      </c>
    </row>
    <row r="47" spans="1:5" x14ac:dyDescent="0.25">
      <c r="A47" s="30" t="s">
        <v>13</v>
      </c>
      <c r="B47" s="30" t="s">
        <v>81</v>
      </c>
      <c r="C47" s="30" t="s">
        <v>75</v>
      </c>
      <c r="D47" s="11" t="s">
        <v>69</v>
      </c>
      <c r="E47" s="12">
        <v>0</v>
      </c>
    </row>
    <row r="48" spans="1:5" x14ac:dyDescent="0.25">
      <c r="A48" s="30" t="s">
        <v>13</v>
      </c>
      <c r="B48" s="30" t="s">
        <v>81</v>
      </c>
      <c r="C48" s="30" t="s">
        <v>75</v>
      </c>
      <c r="D48" s="11" t="s">
        <v>76</v>
      </c>
      <c r="E48" s="12">
        <v>0</v>
      </c>
    </row>
    <row r="49" spans="1:5" x14ac:dyDescent="0.25">
      <c r="A49" s="30" t="s">
        <v>13</v>
      </c>
      <c r="B49" s="30" t="s">
        <v>81</v>
      </c>
      <c r="C49" s="30" t="s">
        <v>75</v>
      </c>
      <c r="D49" s="11" t="s">
        <v>74</v>
      </c>
      <c r="E49" s="12">
        <v>0</v>
      </c>
    </row>
    <row r="50" spans="1:5" x14ac:dyDescent="0.25">
      <c r="A50" s="30" t="s">
        <v>13</v>
      </c>
      <c r="B50" s="30" t="s">
        <v>81</v>
      </c>
      <c r="C50" s="30" t="s">
        <v>75</v>
      </c>
      <c r="D50" s="11" t="s">
        <v>72</v>
      </c>
      <c r="E50" s="12">
        <v>0</v>
      </c>
    </row>
    <row r="51" spans="1:5" x14ac:dyDescent="0.25">
      <c r="A51" s="30" t="s">
        <v>13</v>
      </c>
      <c r="B51" s="11" t="s">
        <v>82</v>
      </c>
      <c r="C51" s="11" t="s">
        <v>0</v>
      </c>
      <c r="D51" s="14" t="s">
        <v>0</v>
      </c>
      <c r="E51" s="12">
        <v>199</v>
      </c>
    </row>
    <row r="52" spans="1:5" x14ac:dyDescent="0.25">
      <c r="A52" s="30" t="s">
        <v>13</v>
      </c>
      <c r="B52" s="30" t="s">
        <v>82</v>
      </c>
      <c r="C52" s="11" t="s">
        <v>16</v>
      </c>
      <c r="D52" s="11" t="s">
        <v>0</v>
      </c>
      <c r="E52" s="12">
        <v>199</v>
      </c>
    </row>
    <row r="53" spans="1:5" x14ac:dyDescent="0.25">
      <c r="A53" s="30" t="s">
        <v>13</v>
      </c>
      <c r="B53" s="30" t="s">
        <v>82</v>
      </c>
      <c r="C53" s="30" t="s">
        <v>16</v>
      </c>
      <c r="D53" s="11" t="s">
        <v>66</v>
      </c>
      <c r="E53" s="12">
        <v>120</v>
      </c>
    </row>
    <row r="54" spans="1:5" x14ac:dyDescent="0.25">
      <c r="A54" s="30" t="s">
        <v>13</v>
      </c>
      <c r="B54" s="30" t="s">
        <v>82</v>
      </c>
      <c r="C54" s="30" t="s">
        <v>16</v>
      </c>
      <c r="D54" s="11" t="s">
        <v>67</v>
      </c>
      <c r="E54" s="12">
        <v>62.25</v>
      </c>
    </row>
    <row r="55" spans="1:5" x14ac:dyDescent="0.25">
      <c r="A55" s="30" t="s">
        <v>13</v>
      </c>
      <c r="B55" s="30" t="s">
        <v>82</v>
      </c>
      <c r="C55" s="30" t="s">
        <v>16</v>
      </c>
      <c r="D55" s="11" t="s">
        <v>72</v>
      </c>
      <c r="E55" s="12">
        <v>8.1666670000000003</v>
      </c>
    </row>
    <row r="56" spans="1:5" x14ac:dyDescent="0.25">
      <c r="A56" s="30" t="s">
        <v>13</v>
      </c>
      <c r="B56" s="30" t="s">
        <v>82</v>
      </c>
      <c r="C56" s="30" t="s">
        <v>16</v>
      </c>
      <c r="D56" s="11" t="s">
        <v>73</v>
      </c>
      <c r="E56" s="12">
        <v>4.5833329999999997</v>
      </c>
    </row>
    <row r="57" spans="1:5" x14ac:dyDescent="0.25">
      <c r="A57" s="30" t="s">
        <v>13</v>
      </c>
      <c r="B57" s="30" t="s">
        <v>82</v>
      </c>
      <c r="C57" s="30" t="s">
        <v>16</v>
      </c>
      <c r="D57" s="11" t="s">
        <v>69</v>
      </c>
      <c r="E57" s="12">
        <v>3.5833330000000001</v>
      </c>
    </row>
    <row r="58" spans="1:5" x14ac:dyDescent="0.25">
      <c r="A58" s="30" t="s">
        <v>13</v>
      </c>
      <c r="B58" s="30" t="s">
        <v>82</v>
      </c>
      <c r="C58" s="30" t="s">
        <v>16</v>
      </c>
      <c r="D58" s="11" t="s">
        <v>71</v>
      </c>
      <c r="E58" s="12">
        <v>0.41666700000000001</v>
      </c>
    </row>
    <row r="59" spans="1:5" x14ac:dyDescent="0.25">
      <c r="A59" s="30" t="s">
        <v>13</v>
      </c>
      <c r="B59" s="11" t="s">
        <v>83</v>
      </c>
      <c r="C59" s="11" t="s">
        <v>0</v>
      </c>
      <c r="D59" s="14" t="s">
        <v>0</v>
      </c>
      <c r="E59" s="12">
        <v>80.999999000000003</v>
      </c>
    </row>
    <row r="60" spans="1:5" x14ac:dyDescent="0.25">
      <c r="A60" s="30" t="s">
        <v>13</v>
      </c>
      <c r="B60" s="30" t="s">
        <v>83</v>
      </c>
      <c r="C60" s="11" t="s">
        <v>17</v>
      </c>
      <c r="D60" s="11" t="s">
        <v>0</v>
      </c>
      <c r="E60" s="12">
        <v>80.999999000000003</v>
      </c>
    </row>
    <row r="61" spans="1:5" x14ac:dyDescent="0.25">
      <c r="A61" s="30" t="s">
        <v>13</v>
      </c>
      <c r="B61" s="30" t="s">
        <v>83</v>
      </c>
      <c r="C61" s="30" t="s">
        <v>17</v>
      </c>
      <c r="D61" s="11" t="s">
        <v>66</v>
      </c>
      <c r="E61" s="12">
        <v>58.583333000000003</v>
      </c>
    </row>
    <row r="62" spans="1:5" x14ac:dyDescent="0.25">
      <c r="A62" s="30" t="s">
        <v>13</v>
      </c>
      <c r="B62" s="30" t="s">
        <v>83</v>
      </c>
      <c r="C62" s="30" t="s">
        <v>17</v>
      </c>
      <c r="D62" s="11" t="s">
        <v>67</v>
      </c>
      <c r="E62" s="12">
        <v>11</v>
      </c>
    </row>
    <row r="63" spans="1:5" x14ac:dyDescent="0.25">
      <c r="A63" s="30" t="s">
        <v>13</v>
      </c>
      <c r="B63" s="30" t="s">
        <v>83</v>
      </c>
      <c r="C63" s="30" t="s">
        <v>17</v>
      </c>
      <c r="D63" s="11" t="s">
        <v>72</v>
      </c>
      <c r="E63" s="12">
        <v>5</v>
      </c>
    </row>
    <row r="64" spans="1:5" x14ac:dyDescent="0.25">
      <c r="A64" s="30" t="s">
        <v>13</v>
      </c>
      <c r="B64" s="30" t="s">
        <v>83</v>
      </c>
      <c r="C64" s="30" t="s">
        <v>17</v>
      </c>
      <c r="D64" s="11" t="s">
        <v>70</v>
      </c>
      <c r="E64" s="12">
        <v>4.9166660000000002</v>
      </c>
    </row>
    <row r="65" spans="1:5" x14ac:dyDescent="0.25">
      <c r="A65" s="30" t="s">
        <v>13</v>
      </c>
      <c r="B65" s="30" t="s">
        <v>83</v>
      </c>
      <c r="C65" s="30" t="s">
        <v>17</v>
      </c>
      <c r="D65" s="11" t="s">
        <v>73</v>
      </c>
      <c r="E65" s="12">
        <v>1.4166669999999999</v>
      </c>
    </row>
    <row r="66" spans="1:5" x14ac:dyDescent="0.25">
      <c r="A66" s="30" t="s">
        <v>13</v>
      </c>
      <c r="B66" s="30" t="s">
        <v>83</v>
      </c>
      <c r="C66" s="30" t="s">
        <v>17</v>
      </c>
      <c r="D66" s="11" t="s">
        <v>71</v>
      </c>
      <c r="E66" s="12">
        <v>8.3333000000000004E-2</v>
      </c>
    </row>
    <row r="67" spans="1:5" x14ac:dyDescent="0.25">
      <c r="A67" s="30" t="s">
        <v>13</v>
      </c>
      <c r="B67" s="11" t="s">
        <v>84</v>
      </c>
      <c r="C67" s="11" t="s">
        <v>0</v>
      </c>
      <c r="D67" s="14" t="s">
        <v>0</v>
      </c>
      <c r="E67" s="12">
        <v>61</v>
      </c>
    </row>
    <row r="68" spans="1:5" x14ac:dyDescent="0.25">
      <c r="A68" s="30" t="s">
        <v>13</v>
      </c>
      <c r="B68" s="30" t="s">
        <v>84</v>
      </c>
      <c r="C68" s="11" t="s">
        <v>18</v>
      </c>
      <c r="D68" s="11" t="s">
        <v>0</v>
      </c>
      <c r="E68" s="12">
        <v>24.75</v>
      </c>
    </row>
    <row r="69" spans="1:5" x14ac:dyDescent="0.25">
      <c r="A69" s="30" t="s">
        <v>13</v>
      </c>
      <c r="B69" s="30" t="s">
        <v>84</v>
      </c>
      <c r="C69" s="30" t="s">
        <v>18</v>
      </c>
      <c r="D69" s="11" t="s">
        <v>70</v>
      </c>
      <c r="E69" s="12">
        <v>8.8333329999999997</v>
      </c>
    </row>
    <row r="70" spans="1:5" x14ac:dyDescent="0.25">
      <c r="A70" s="30" t="s">
        <v>13</v>
      </c>
      <c r="B70" s="30" t="s">
        <v>84</v>
      </c>
      <c r="C70" s="30" t="s">
        <v>18</v>
      </c>
      <c r="D70" s="11" t="s">
        <v>72</v>
      </c>
      <c r="E70" s="12">
        <v>7.3333329999999997</v>
      </c>
    </row>
    <row r="71" spans="1:5" x14ac:dyDescent="0.25">
      <c r="A71" s="30" t="s">
        <v>13</v>
      </c>
      <c r="B71" s="30" t="s">
        <v>84</v>
      </c>
      <c r="C71" s="30" t="s">
        <v>18</v>
      </c>
      <c r="D71" s="11" t="s">
        <v>67</v>
      </c>
      <c r="E71" s="12">
        <v>2.6666669999999999</v>
      </c>
    </row>
    <row r="72" spans="1:5" x14ac:dyDescent="0.25">
      <c r="A72" s="30" t="s">
        <v>13</v>
      </c>
      <c r="B72" s="30" t="s">
        <v>84</v>
      </c>
      <c r="C72" s="30" t="s">
        <v>18</v>
      </c>
      <c r="D72" s="11" t="s">
        <v>66</v>
      </c>
      <c r="E72" s="12">
        <v>2.5</v>
      </c>
    </row>
    <row r="73" spans="1:5" x14ac:dyDescent="0.25">
      <c r="A73" s="30" t="s">
        <v>13</v>
      </c>
      <c r="B73" s="30" t="s">
        <v>84</v>
      </c>
      <c r="C73" s="30" t="s">
        <v>18</v>
      </c>
      <c r="D73" s="11" t="s">
        <v>71</v>
      </c>
      <c r="E73" s="12">
        <v>2.25</v>
      </c>
    </row>
    <row r="74" spans="1:5" x14ac:dyDescent="0.25">
      <c r="A74" s="30" t="s">
        <v>13</v>
      </c>
      <c r="B74" s="30" t="s">
        <v>84</v>
      </c>
      <c r="C74" s="30" t="s">
        <v>18</v>
      </c>
      <c r="D74" s="11" t="s">
        <v>73</v>
      </c>
      <c r="E74" s="12">
        <v>1.1666669999999999</v>
      </c>
    </row>
    <row r="75" spans="1:5" x14ac:dyDescent="0.25">
      <c r="A75" s="30" t="s">
        <v>13</v>
      </c>
      <c r="B75" s="30" t="s">
        <v>84</v>
      </c>
      <c r="C75" s="11" t="s">
        <v>19</v>
      </c>
      <c r="D75" s="11" t="s">
        <v>0</v>
      </c>
      <c r="E75" s="12">
        <v>31.916667</v>
      </c>
    </row>
    <row r="76" spans="1:5" x14ac:dyDescent="0.25">
      <c r="A76" s="30" t="s">
        <v>13</v>
      </c>
      <c r="B76" s="30" t="s">
        <v>84</v>
      </c>
      <c r="C76" s="30" t="s">
        <v>19</v>
      </c>
      <c r="D76" s="11" t="s">
        <v>66</v>
      </c>
      <c r="E76" s="12">
        <v>23.5</v>
      </c>
    </row>
    <row r="77" spans="1:5" x14ac:dyDescent="0.25">
      <c r="A77" s="30" t="s">
        <v>13</v>
      </c>
      <c r="B77" s="30" t="s">
        <v>84</v>
      </c>
      <c r="C77" s="30" t="s">
        <v>19</v>
      </c>
      <c r="D77" s="11" t="s">
        <v>70</v>
      </c>
      <c r="E77" s="12">
        <v>8.4166670000000003</v>
      </c>
    </row>
    <row r="78" spans="1:5" x14ac:dyDescent="0.25">
      <c r="A78" s="30" t="s">
        <v>13</v>
      </c>
      <c r="B78" s="30" t="s">
        <v>84</v>
      </c>
      <c r="C78" s="11" t="s">
        <v>20</v>
      </c>
      <c r="D78" s="11" t="s">
        <v>0</v>
      </c>
      <c r="E78" s="12">
        <v>4.3333329999999997</v>
      </c>
    </row>
    <row r="79" spans="1:5" x14ac:dyDescent="0.25">
      <c r="A79" s="30" t="s">
        <v>13</v>
      </c>
      <c r="B79" s="30" t="s">
        <v>84</v>
      </c>
      <c r="C79" s="30" t="s">
        <v>20</v>
      </c>
      <c r="D79" s="11" t="s">
        <v>66</v>
      </c>
      <c r="E79" s="12">
        <v>4.3333329999999997</v>
      </c>
    </row>
    <row r="80" spans="1:5" x14ac:dyDescent="0.25">
      <c r="A80" s="30" t="s">
        <v>13</v>
      </c>
      <c r="B80" s="11" t="s">
        <v>85</v>
      </c>
      <c r="C80" s="11" t="s">
        <v>0</v>
      </c>
      <c r="D80" s="14" t="s">
        <v>0</v>
      </c>
      <c r="E80" s="12">
        <v>47.916665999999999</v>
      </c>
    </row>
    <row r="81" spans="1:5" x14ac:dyDescent="0.25">
      <c r="A81" s="30" t="s">
        <v>13</v>
      </c>
      <c r="B81" s="30" t="s">
        <v>85</v>
      </c>
      <c r="C81" s="11" t="s">
        <v>23</v>
      </c>
      <c r="D81" s="11" t="s">
        <v>0</v>
      </c>
      <c r="E81" s="12">
        <v>47.916665999999999</v>
      </c>
    </row>
    <row r="82" spans="1:5" x14ac:dyDescent="0.25">
      <c r="A82" s="30" t="s">
        <v>13</v>
      </c>
      <c r="B82" s="30" t="s">
        <v>85</v>
      </c>
      <c r="C82" s="30" t="s">
        <v>23</v>
      </c>
      <c r="D82" s="11" t="s">
        <v>67</v>
      </c>
      <c r="E82" s="12">
        <v>19.333333</v>
      </c>
    </row>
    <row r="83" spans="1:5" x14ac:dyDescent="0.25">
      <c r="A83" s="30" t="s">
        <v>13</v>
      </c>
      <c r="B83" s="30" t="s">
        <v>85</v>
      </c>
      <c r="C83" s="30" t="s">
        <v>23</v>
      </c>
      <c r="D83" s="11" t="s">
        <v>66</v>
      </c>
      <c r="E83" s="12">
        <v>12.75</v>
      </c>
    </row>
    <row r="84" spans="1:5" x14ac:dyDescent="0.25">
      <c r="A84" s="30" t="s">
        <v>13</v>
      </c>
      <c r="B84" s="30" t="s">
        <v>85</v>
      </c>
      <c r="C84" s="30" t="s">
        <v>23</v>
      </c>
      <c r="D84" s="11" t="s">
        <v>71</v>
      </c>
      <c r="E84" s="12">
        <v>9.25</v>
      </c>
    </row>
    <row r="85" spans="1:5" x14ac:dyDescent="0.25">
      <c r="A85" s="30" t="s">
        <v>13</v>
      </c>
      <c r="B85" s="30" t="s">
        <v>85</v>
      </c>
      <c r="C85" s="30" t="s">
        <v>23</v>
      </c>
      <c r="D85" s="11" t="s">
        <v>70</v>
      </c>
      <c r="E85" s="12">
        <v>6.5833329999999997</v>
      </c>
    </row>
    <row r="86" spans="1:5" x14ac:dyDescent="0.25">
      <c r="A86" s="30" t="s">
        <v>13</v>
      </c>
      <c r="B86" s="11" t="s">
        <v>86</v>
      </c>
      <c r="C86" s="11" t="s">
        <v>0</v>
      </c>
      <c r="D86" s="14" t="s">
        <v>0</v>
      </c>
      <c r="E86" s="12">
        <v>45.666666999999997</v>
      </c>
    </row>
    <row r="87" spans="1:5" x14ac:dyDescent="0.25">
      <c r="A87" s="30" t="s">
        <v>13</v>
      </c>
      <c r="B87" s="30" t="s">
        <v>86</v>
      </c>
      <c r="C87" s="11" t="s">
        <v>68</v>
      </c>
      <c r="D87" s="11" t="s">
        <v>0</v>
      </c>
      <c r="E87" s="12">
        <v>45.666666999999997</v>
      </c>
    </row>
    <row r="88" spans="1:5" x14ac:dyDescent="0.25">
      <c r="A88" s="30" t="s">
        <v>13</v>
      </c>
      <c r="B88" s="30" t="s">
        <v>86</v>
      </c>
      <c r="C88" s="30" t="s">
        <v>68</v>
      </c>
      <c r="D88" s="11" t="s">
        <v>66</v>
      </c>
      <c r="E88" s="12">
        <v>24.916667</v>
      </c>
    </row>
    <row r="89" spans="1:5" x14ac:dyDescent="0.25">
      <c r="A89" s="30" t="s">
        <v>13</v>
      </c>
      <c r="B89" s="30" t="s">
        <v>86</v>
      </c>
      <c r="C89" s="30" t="s">
        <v>68</v>
      </c>
      <c r="D89" s="11" t="s">
        <v>70</v>
      </c>
      <c r="E89" s="12">
        <v>16.416667</v>
      </c>
    </row>
    <row r="90" spans="1:5" x14ac:dyDescent="0.25">
      <c r="A90" s="30" t="s">
        <v>13</v>
      </c>
      <c r="B90" s="30" t="s">
        <v>86</v>
      </c>
      <c r="C90" s="30" t="s">
        <v>68</v>
      </c>
      <c r="D90" s="11" t="s">
        <v>67</v>
      </c>
      <c r="E90" s="12">
        <v>4.3333329999999997</v>
      </c>
    </row>
    <row r="91" spans="1:5" x14ac:dyDescent="0.25">
      <c r="A91" s="30" t="s">
        <v>13</v>
      </c>
      <c r="B91" s="11" t="s">
        <v>87</v>
      </c>
      <c r="C91" s="11" t="s">
        <v>0</v>
      </c>
      <c r="D91" s="14" t="s">
        <v>0</v>
      </c>
      <c r="E91" s="12">
        <v>33.083334000000001</v>
      </c>
    </row>
    <row r="92" spans="1:5" x14ac:dyDescent="0.25">
      <c r="A92" s="30" t="s">
        <v>13</v>
      </c>
      <c r="B92" s="30" t="s">
        <v>87</v>
      </c>
      <c r="C92" s="11" t="s">
        <v>22</v>
      </c>
      <c r="D92" s="11" t="s">
        <v>0</v>
      </c>
      <c r="E92" s="12">
        <v>17.916667</v>
      </c>
    </row>
    <row r="93" spans="1:5" x14ac:dyDescent="0.25">
      <c r="A93" s="30" t="s">
        <v>13</v>
      </c>
      <c r="B93" s="30" t="s">
        <v>87</v>
      </c>
      <c r="C93" s="30" t="s">
        <v>22</v>
      </c>
      <c r="D93" s="11" t="s">
        <v>67</v>
      </c>
      <c r="E93" s="12">
        <v>11.25</v>
      </c>
    </row>
    <row r="94" spans="1:5" x14ac:dyDescent="0.25">
      <c r="A94" s="30" t="s">
        <v>13</v>
      </c>
      <c r="B94" s="30" t="s">
        <v>87</v>
      </c>
      <c r="C94" s="30" t="s">
        <v>22</v>
      </c>
      <c r="D94" s="11" t="s">
        <v>66</v>
      </c>
      <c r="E94" s="12">
        <v>6.6666670000000003</v>
      </c>
    </row>
    <row r="95" spans="1:5" x14ac:dyDescent="0.25">
      <c r="A95" s="30" t="s">
        <v>13</v>
      </c>
      <c r="B95" s="30" t="s">
        <v>87</v>
      </c>
      <c r="C95" s="11" t="s">
        <v>88</v>
      </c>
      <c r="D95" s="11" t="s">
        <v>0</v>
      </c>
      <c r="E95" s="12">
        <v>15.166667</v>
      </c>
    </row>
    <row r="96" spans="1:5" x14ac:dyDescent="0.25">
      <c r="A96" s="30" t="s">
        <v>13</v>
      </c>
      <c r="B96" s="30" t="s">
        <v>87</v>
      </c>
      <c r="C96" s="30" t="s">
        <v>88</v>
      </c>
      <c r="D96" s="11" t="s">
        <v>66</v>
      </c>
      <c r="E96" s="12">
        <v>9.4166670000000003</v>
      </c>
    </row>
    <row r="97" spans="1:5" x14ac:dyDescent="0.25">
      <c r="A97" s="30" t="s">
        <v>13</v>
      </c>
      <c r="B97" s="30" t="s">
        <v>87</v>
      </c>
      <c r="C97" s="30" t="s">
        <v>88</v>
      </c>
      <c r="D97" s="11" t="s">
        <v>67</v>
      </c>
      <c r="E97" s="12">
        <v>5.75</v>
      </c>
    </row>
    <row r="98" spans="1:5" x14ac:dyDescent="0.25">
      <c r="A98" s="30" t="s">
        <v>13</v>
      </c>
      <c r="B98" s="11" t="s">
        <v>89</v>
      </c>
      <c r="C98" s="11" t="s">
        <v>0</v>
      </c>
      <c r="D98" s="14" t="s">
        <v>0</v>
      </c>
      <c r="E98" s="12">
        <v>25.5</v>
      </c>
    </row>
    <row r="99" spans="1:5" x14ac:dyDescent="0.25">
      <c r="A99" s="30" t="s">
        <v>13</v>
      </c>
      <c r="B99" s="30" t="s">
        <v>89</v>
      </c>
      <c r="C99" s="11" t="s">
        <v>21</v>
      </c>
      <c r="D99" s="11" t="s">
        <v>0</v>
      </c>
      <c r="E99" s="12">
        <v>25.5</v>
      </c>
    </row>
    <row r="100" spans="1:5" x14ac:dyDescent="0.25">
      <c r="A100" s="30" t="s">
        <v>13</v>
      </c>
      <c r="B100" s="30" t="s">
        <v>89</v>
      </c>
      <c r="C100" s="30" t="s">
        <v>21</v>
      </c>
      <c r="D100" s="11" t="s">
        <v>66</v>
      </c>
      <c r="E100" s="12">
        <v>23.166667</v>
      </c>
    </row>
    <row r="101" spans="1:5" x14ac:dyDescent="0.25">
      <c r="A101" s="30" t="s">
        <v>13</v>
      </c>
      <c r="B101" s="30" t="s">
        <v>89</v>
      </c>
      <c r="C101" s="30" t="s">
        <v>21</v>
      </c>
      <c r="D101" s="11" t="s">
        <v>67</v>
      </c>
      <c r="E101" s="12">
        <v>2.3333330000000001</v>
      </c>
    </row>
    <row r="102" spans="1:5" x14ac:dyDescent="0.25">
      <c r="A102" s="30" t="s">
        <v>13</v>
      </c>
      <c r="B102" s="30" t="s">
        <v>89</v>
      </c>
      <c r="C102" s="30" t="s">
        <v>21</v>
      </c>
      <c r="D102" s="11" t="s">
        <v>71</v>
      </c>
      <c r="E102" s="12">
        <v>0</v>
      </c>
    </row>
    <row r="103" spans="1:5" x14ac:dyDescent="0.25">
      <c r="A103" s="11" t="s">
        <v>25</v>
      </c>
      <c r="B103" s="11" t="s">
        <v>0</v>
      </c>
      <c r="C103" s="14" t="s">
        <v>0</v>
      </c>
      <c r="D103" s="14" t="s">
        <v>0</v>
      </c>
      <c r="E103" s="12">
        <v>1260.416669</v>
      </c>
    </row>
    <row r="104" spans="1:5" x14ac:dyDescent="0.25">
      <c r="A104" s="30" t="s">
        <v>25</v>
      </c>
      <c r="B104" s="11" t="s">
        <v>90</v>
      </c>
      <c r="C104" s="11" t="s">
        <v>0</v>
      </c>
      <c r="D104" s="14" t="s">
        <v>0</v>
      </c>
      <c r="E104" s="12">
        <v>620.08333500000003</v>
      </c>
    </row>
    <row r="105" spans="1:5" x14ac:dyDescent="0.25">
      <c r="A105" s="30" t="s">
        <v>25</v>
      </c>
      <c r="B105" s="30" t="s">
        <v>90</v>
      </c>
      <c r="C105" s="11" t="s">
        <v>91</v>
      </c>
      <c r="D105" s="11" t="s">
        <v>0</v>
      </c>
      <c r="E105" s="12">
        <v>2</v>
      </c>
    </row>
    <row r="106" spans="1:5" x14ac:dyDescent="0.25">
      <c r="A106" s="30" t="s">
        <v>25</v>
      </c>
      <c r="B106" s="30" t="s">
        <v>90</v>
      </c>
      <c r="C106" s="30" t="s">
        <v>91</v>
      </c>
      <c r="D106" s="11" t="s">
        <v>66</v>
      </c>
      <c r="E106" s="12">
        <v>2</v>
      </c>
    </row>
    <row r="107" spans="1:5" x14ac:dyDescent="0.25">
      <c r="A107" s="30" t="s">
        <v>25</v>
      </c>
      <c r="B107" s="30" t="s">
        <v>90</v>
      </c>
      <c r="C107" s="30" t="s">
        <v>91</v>
      </c>
      <c r="D107" s="11" t="s">
        <v>74</v>
      </c>
      <c r="E107" s="12">
        <v>0</v>
      </c>
    </row>
    <row r="108" spans="1:5" x14ac:dyDescent="0.25">
      <c r="A108" s="30" t="s">
        <v>25</v>
      </c>
      <c r="B108" s="30" t="s">
        <v>90</v>
      </c>
      <c r="C108" s="30" t="s">
        <v>91</v>
      </c>
      <c r="D108" s="11" t="s">
        <v>70</v>
      </c>
      <c r="E108" s="12">
        <v>0</v>
      </c>
    </row>
    <row r="109" spans="1:5" x14ac:dyDescent="0.25">
      <c r="A109" s="30" t="s">
        <v>25</v>
      </c>
      <c r="B109" s="30" t="s">
        <v>90</v>
      </c>
      <c r="C109" s="30" t="s">
        <v>91</v>
      </c>
      <c r="D109" s="11" t="s">
        <v>73</v>
      </c>
      <c r="E109" s="12">
        <v>0</v>
      </c>
    </row>
    <row r="110" spans="1:5" x14ac:dyDescent="0.25">
      <c r="A110" s="30" t="s">
        <v>25</v>
      </c>
      <c r="B110" s="30" t="s">
        <v>90</v>
      </c>
      <c r="C110" s="30" t="s">
        <v>91</v>
      </c>
      <c r="D110" s="11" t="s">
        <v>67</v>
      </c>
      <c r="E110" s="12">
        <v>0</v>
      </c>
    </row>
    <row r="111" spans="1:5" x14ac:dyDescent="0.25">
      <c r="A111" s="30" t="s">
        <v>25</v>
      </c>
      <c r="B111" s="30" t="s">
        <v>90</v>
      </c>
      <c r="C111" s="30" t="s">
        <v>91</v>
      </c>
      <c r="D111" s="11" t="s">
        <v>71</v>
      </c>
      <c r="E111" s="12">
        <v>0</v>
      </c>
    </row>
    <row r="112" spans="1:5" x14ac:dyDescent="0.25">
      <c r="A112" s="30" t="s">
        <v>25</v>
      </c>
      <c r="B112" s="30" t="s">
        <v>90</v>
      </c>
      <c r="C112" s="11" t="s">
        <v>92</v>
      </c>
      <c r="D112" s="11" t="s">
        <v>0</v>
      </c>
      <c r="E112" s="12">
        <v>0.91666700000000001</v>
      </c>
    </row>
    <row r="113" spans="1:5" x14ac:dyDescent="0.25">
      <c r="A113" s="30" t="s">
        <v>25</v>
      </c>
      <c r="B113" s="30" t="s">
        <v>90</v>
      </c>
      <c r="C113" s="30" t="s">
        <v>92</v>
      </c>
      <c r="D113" s="11" t="s">
        <v>71</v>
      </c>
      <c r="E113" s="12">
        <v>0.91666700000000001</v>
      </c>
    </row>
    <row r="114" spans="1:5" x14ac:dyDescent="0.25">
      <c r="A114" s="30" t="s">
        <v>25</v>
      </c>
      <c r="B114" s="30" t="s">
        <v>90</v>
      </c>
      <c r="C114" s="30" t="s">
        <v>92</v>
      </c>
      <c r="D114" s="11" t="s">
        <v>66</v>
      </c>
      <c r="E114" s="12">
        <v>0</v>
      </c>
    </row>
    <row r="115" spans="1:5" x14ac:dyDescent="0.25">
      <c r="A115" s="30" t="s">
        <v>25</v>
      </c>
      <c r="B115" s="30" t="s">
        <v>90</v>
      </c>
      <c r="C115" s="30" t="s">
        <v>92</v>
      </c>
      <c r="D115" s="11" t="s">
        <v>67</v>
      </c>
      <c r="E115" s="12">
        <v>0</v>
      </c>
    </row>
    <row r="116" spans="1:5" x14ac:dyDescent="0.25">
      <c r="A116" s="30" t="s">
        <v>25</v>
      </c>
      <c r="B116" s="30" t="s">
        <v>90</v>
      </c>
      <c r="C116" s="30" t="s">
        <v>92</v>
      </c>
      <c r="D116" s="11" t="s">
        <v>70</v>
      </c>
      <c r="E116" s="12">
        <v>0</v>
      </c>
    </row>
    <row r="117" spans="1:5" x14ac:dyDescent="0.25">
      <c r="A117" s="30" t="s">
        <v>25</v>
      </c>
      <c r="B117" s="30" t="s">
        <v>90</v>
      </c>
      <c r="C117" s="30" t="s">
        <v>92</v>
      </c>
      <c r="D117" s="11" t="s">
        <v>74</v>
      </c>
      <c r="E117" s="12">
        <v>0</v>
      </c>
    </row>
    <row r="118" spans="1:5" x14ac:dyDescent="0.25">
      <c r="A118" s="30" t="s">
        <v>25</v>
      </c>
      <c r="B118" s="30" t="s">
        <v>90</v>
      </c>
      <c r="C118" s="30" t="s">
        <v>92</v>
      </c>
      <c r="D118" s="11" t="s">
        <v>73</v>
      </c>
      <c r="E118" s="12">
        <v>0</v>
      </c>
    </row>
    <row r="119" spans="1:5" x14ac:dyDescent="0.25">
      <c r="A119" s="30" t="s">
        <v>25</v>
      </c>
      <c r="B119" s="30" t="s">
        <v>90</v>
      </c>
      <c r="C119" s="11" t="s">
        <v>93</v>
      </c>
      <c r="D119" s="11" t="s">
        <v>0</v>
      </c>
      <c r="E119" s="12">
        <v>2</v>
      </c>
    </row>
    <row r="120" spans="1:5" x14ac:dyDescent="0.25">
      <c r="A120" s="30" t="s">
        <v>25</v>
      </c>
      <c r="B120" s="30" t="s">
        <v>90</v>
      </c>
      <c r="C120" s="30" t="s">
        <v>93</v>
      </c>
      <c r="D120" s="11" t="s">
        <v>66</v>
      </c>
      <c r="E120" s="12">
        <v>2</v>
      </c>
    </row>
    <row r="121" spans="1:5" x14ac:dyDescent="0.25">
      <c r="A121" s="30" t="s">
        <v>25</v>
      </c>
      <c r="B121" s="30" t="s">
        <v>90</v>
      </c>
      <c r="C121" s="30" t="s">
        <v>93</v>
      </c>
      <c r="D121" s="11" t="s">
        <v>74</v>
      </c>
      <c r="E121" s="12">
        <v>0</v>
      </c>
    </row>
    <row r="122" spans="1:5" x14ac:dyDescent="0.25">
      <c r="A122" s="30" t="s">
        <v>25</v>
      </c>
      <c r="B122" s="30" t="s">
        <v>90</v>
      </c>
      <c r="C122" s="30" t="s">
        <v>93</v>
      </c>
      <c r="D122" s="11" t="s">
        <v>71</v>
      </c>
      <c r="E122" s="12">
        <v>0</v>
      </c>
    </row>
    <row r="123" spans="1:5" x14ac:dyDescent="0.25">
      <c r="A123" s="30" t="s">
        <v>25</v>
      </c>
      <c r="B123" s="30" t="s">
        <v>90</v>
      </c>
      <c r="C123" s="30" t="s">
        <v>93</v>
      </c>
      <c r="D123" s="11" t="s">
        <v>67</v>
      </c>
      <c r="E123" s="12">
        <v>0</v>
      </c>
    </row>
    <row r="124" spans="1:5" x14ac:dyDescent="0.25">
      <c r="A124" s="30" t="s">
        <v>25</v>
      </c>
      <c r="B124" s="30" t="s">
        <v>90</v>
      </c>
      <c r="C124" s="30" t="s">
        <v>93</v>
      </c>
      <c r="D124" s="11" t="s">
        <v>73</v>
      </c>
      <c r="E124" s="12">
        <v>0</v>
      </c>
    </row>
    <row r="125" spans="1:5" x14ac:dyDescent="0.25">
      <c r="A125" s="30" t="s">
        <v>25</v>
      </c>
      <c r="B125" s="30" t="s">
        <v>90</v>
      </c>
      <c r="C125" s="30" t="s">
        <v>93</v>
      </c>
      <c r="D125" s="11" t="s">
        <v>70</v>
      </c>
      <c r="E125" s="12">
        <v>0</v>
      </c>
    </row>
    <row r="126" spans="1:5" x14ac:dyDescent="0.25">
      <c r="A126" s="30" t="s">
        <v>25</v>
      </c>
      <c r="B126" s="30" t="s">
        <v>90</v>
      </c>
      <c r="C126" s="11" t="s">
        <v>94</v>
      </c>
      <c r="D126" s="11" t="s">
        <v>0</v>
      </c>
      <c r="E126" s="12">
        <v>2.0833330000000001</v>
      </c>
    </row>
    <row r="127" spans="1:5" x14ac:dyDescent="0.25">
      <c r="A127" s="30" t="s">
        <v>25</v>
      </c>
      <c r="B127" s="30" t="s">
        <v>90</v>
      </c>
      <c r="C127" s="30" t="s">
        <v>94</v>
      </c>
      <c r="D127" s="11" t="s">
        <v>67</v>
      </c>
      <c r="E127" s="12">
        <v>2.0833330000000001</v>
      </c>
    </row>
    <row r="128" spans="1:5" x14ac:dyDescent="0.25">
      <c r="A128" s="30" t="s">
        <v>25</v>
      </c>
      <c r="B128" s="30" t="s">
        <v>90</v>
      </c>
      <c r="C128" s="30" t="s">
        <v>94</v>
      </c>
      <c r="D128" s="11" t="s">
        <v>73</v>
      </c>
      <c r="E128" s="12">
        <v>0</v>
      </c>
    </row>
    <row r="129" spans="1:5" x14ac:dyDescent="0.25">
      <c r="A129" s="30" t="s">
        <v>25</v>
      </c>
      <c r="B129" s="30" t="s">
        <v>90</v>
      </c>
      <c r="C129" s="30" t="s">
        <v>94</v>
      </c>
      <c r="D129" s="11" t="s">
        <v>66</v>
      </c>
      <c r="E129" s="12">
        <v>0</v>
      </c>
    </row>
    <row r="130" spans="1:5" x14ac:dyDescent="0.25">
      <c r="A130" s="30" t="s">
        <v>25</v>
      </c>
      <c r="B130" s="30" t="s">
        <v>90</v>
      </c>
      <c r="C130" s="30" t="s">
        <v>94</v>
      </c>
      <c r="D130" s="11" t="s">
        <v>71</v>
      </c>
      <c r="E130" s="12">
        <v>0</v>
      </c>
    </row>
    <row r="131" spans="1:5" x14ac:dyDescent="0.25">
      <c r="A131" s="30" t="s">
        <v>25</v>
      </c>
      <c r="B131" s="30" t="s">
        <v>90</v>
      </c>
      <c r="C131" s="30" t="s">
        <v>94</v>
      </c>
      <c r="D131" s="11" t="s">
        <v>74</v>
      </c>
      <c r="E131" s="12">
        <v>0</v>
      </c>
    </row>
    <row r="132" spans="1:5" x14ac:dyDescent="0.25">
      <c r="A132" s="30" t="s">
        <v>25</v>
      </c>
      <c r="B132" s="30" t="s">
        <v>90</v>
      </c>
      <c r="C132" s="30" t="s">
        <v>94</v>
      </c>
      <c r="D132" s="11" t="s">
        <v>70</v>
      </c>
      <c r="E132" s="12">
        <v>0</v>
      </c>
    </row>
    <row r="133" spans="1:5" x14ac:dyDescent="0.25">
      <c r="A133" s="30" t="s">
        <v>25</v>
      </c>
      <c r="B133" s="30" t="s">
        <v>90</v>
      </c>
      <c r="C133" s="11" t="s">
        <v>95</v>
      </c>
      <c r="D133" s="11" t="s">
        <v>0</v>
      </c>
      <c r="E133" s="12">
        <v>12.166668</v>
      </c>
    </row>
    <row r="134" spans="1:5" x14ac:dyDescent="0.25">
      <c r="A134" s="30" t="s">
        <v>25</v>
      </c>
      <c r="B134" s="30" t="s">
        <v>90</v>
      </c>
      <c r="C134" s="30" t="s">
        <v>95</v>
      </c>
      <c r="D134" s="11" t="s">
        <v>71</v>
      </c>
      <c r="E134" s="12">
        <v>5.5833339999999998</v>
      </c>
    </row>
    <row r="135" spans="1:5" x14ac:dyDescent="0.25">
      <c r="A135" s="30" t="s">
        <v>25</v>
      </c>
      <c r="B135" s="30" t="s">
        <v>90</v>
      </c>
      <c r="C135" s="30" t="s">
        <v>95</v>
      </c>
      <c r="D135" s="11" t="s">
        <v>74</v>
      </c>
      <c r="E135" s="12">
        <v>2.6666669999999999</v>
      </c>
    </row>
    <row r="136" spans="1:5" x14ac:dyDescent="0.25">
      <c r="A136" s="30" t="s">
        <v>25</v>
      </c>
      <c r="B136" s="30" t="s">
        <v>90</v>
      </c>
      <c r="C136" s="30" t="s">
        <v>95</v>
      </c>
      <c r="D136" s="11" t="s">
        <v>66</v>
      </c>
      <c r="E136" s="12">
        <v>2.5</v>
      </c>
    </row>
    <row r="137" spans="1:5" x14ac:dyDescent="0.25">
      <c r="A137" s="30" t="s">
        <v>25</v>
      </c>
      <c r="B137" s="30" t="s">
        <v>90</v>
      </c>
      <c r="C137" s="30" t="s">
        <v>95</v>
      </c>
      <c r="D137" s="11" t="s">
        <v>73</v>
      </c>
      <c r="E137" s="12">
        <v>1.1666669999999999</v>
      </c>
    </row>
    <row r="138" spans="1:5" x14ac:dyDescent="0.25">
      <c r="A138" s="30" t="s">
        <v>25</v>
      </c>
      <c r="B138" s="30" t="s">
        <v>90</v>
      </c>
      <c r="C138" s="30" t="s">
        <v>95</v>
      </c>
      <c r="D138" s="11" t="s">
        <v>67</v>
      </c>
      <c r="E138" s="12">
        <v>0.25</v>
      </c>
    </row>
    <row r="139" spans="1:5" x14ac:dyDescent="0.25">
      <c r="A139" s="30" t="s">
        <v>25</v>
      </c>
      <c r="B139" s="30" t="s">
        <v>90</v>
      </c>
      <c r="C139" s="30" t="s">
        <v>95</v>
      </c>
      <c r="D139" s="11" t="s">
        <v>70</v>
      </c>
      <c r="E139" s="12">
        <v>0</v>
      </c>
    </row>
    <row r="140" spans="1:5" x14ac:dyDescent="0.25">
      <c r="A140" s="30" t="s">
        <v>25</v>
      </c>
      <c r="B140" s="30" t="s">
        <v>90</v>
      </c>
      <c r="C140" s="11" t="s">
        <v>26</v>
      </c>
      <c r="D140" s="11" t="s">
        <v>0</v>
      </c>
      <c r="E140" s="12">
        <v>158.999999</v>
      </c>
    </row>
    <row r="141" spans="1:5" x14ac:dyDescent="0.25">
      <c r="A141" s="30" t="s">
        <v>25</v>
      </c>
      <c r="B141" s="30" t="s">
        <v>90</v>
      </c>
      <c r="C141" s="30" t="s">
        <v>26</v>
      </c>
      <c r="D141" s="11" t="s">
        <v>66</v>
      </c>
      <c r="E141" s="12">
        <v>63.666666999999997</v>
      </c>
    </row>
    <row r="142" spans="1:5" x14ac:dyDescent="0.25">
      <c r="A142" s="30" t="s">
        <v>25</v>
      </c>
      <c r="B142" s="30" t="s">
        <v>90</v>
      </c>
      <c r="C142" s="30" t="s">
        <v>26</v>
      </c>
      <c r="D142" s="11" t="s">
        <v>67</v>
      </c>
      <c r="E142" s="12">
        <v>37</v>
      </c>
    </row>
    <row r="143" spans="1:5" x14ac:dyDescent="0.25">
      <c r="A143" s="30" t="s">
        <v>25</v>
      </c>
      <c r="B143" s="30" t="s">
        <v>90</v>
      </c>
      <c r="C143" s="30" t="s">
        <v>26</v>
      </c>
      <c r="D143" s="11" t="s">
        <v>71</v>
      </c>
      <c r="E143" s="12">
        <v>19.583333</v>
      </c>
    </row>
    <row r="144" spans="1:5" x14ac:dyDescent="0.25">
      <c r="A144" s="30" t="s">
        <v>25</v>
      </c>
      <c r="B144" s="30" t="s">
        <v>90</v>
      </c>
      <c r="C144" s="30" t="s">
        <v>26</v>
      </c>
      <c r="D144" s="11" t="s">
        <v>70</v>
      </c>
      <c r="E144" s="12">
        <v>19.083333</v>
      </c>
    </row>
    <row r="145" spans="1:5" x14ac:dyDescent="0.25">
      <c r="A145" s="30" t="s">
        <v>25</v>
      </c>
      <c r="B145" s="30" t="s">
        <v>90</v>
      </c>
      <c r="C145" s="30" t="s">
        <v>26</v>
      </c>
      <c r="D145" s="11" t="s">
        <v>73</v>
      </c>
      <c r="E145" s="12">
        <v>18.833333</v>
      </c>
    </row>
    <row r="146" spans="1:5" x14ac:dyDescent="0.25">
      <c r="A146" s="30" t="s">
        <v>25</v>
      </c>
      <c r="B146" s="30" t="s">
        <v>90</v>
      </c>
      <c r="C146" s="30" t="s">
        <v>26</v>
      </c>
      <c r="D146" s="11" t="s">
        <v>74</v>
      </c>
      <c r="E146" s="12">
        <v>0.83333299999999999</v>
      </c>
    </row>
    <row r="147" spans="1:5" x14ac:dyDescent="0.25">
      <c r="A147" s="30" t="s">
        <v>25</v>
      </c>
      <c r="B147" s="30" t="s">
        <v>90</v>
      </c>
      <c r="C147" s="11" t="s">
        <v>27</v>
      </c>
      <c r="D147" s="11" t="s">
        <v>0</v>
      </c>
      <c r="E147" s="12">
        <v>151.750001</v>
      </c>
    </row>
    <row r="148" spans="1:5" x14ac:dyDescent="0.25">
      <c r="A148" s="30" t="s">
        <v>25</v>
      </c>
      <c r="B148" s="30" t="s">
        <v>90</v>
      </c>
      <c r="C148" s="30" t="s">
        <v>27</v>
      </c>
      <c r="D148" s="11" t="s">
        <v>67</v>
      </c>
      <c r="E148" s="12">
        <v>45.083333000000003</v>
      </c>
    </row>
    <row r="149" spans="1:5" x14ac:dyDescent="0.25">
      <c r="A149" s="30" t="s">
        <v>25</v>
      </c>
      <c r="B149" s="30" t="s">
        <v>90</v>
      </c>
      <c r="C149" s="30" t="s">
        <v>27</v>
      </c>
      <c r="D149" s="11" t="s">
        <v>71</v>
      </c>
      <c r="E149" s="12">
        <v>37.666666999999997</v>
      </c>
    </row>
    <row r="150" spans="1:5" x14ac:dyDescent="0.25">
      <c r="A150" s="30" t="s">
        <v>25</v>
      </c>
      <c r="B150" s="30" t="s">
        <v>90</v>
      </c>
      <c r="C150" s="30" t="s">
        <v>27</v>
      </c>
      <c r="D150" s="11" t="s">
        <v>70</v>
      </c>
      <c r="E150" s="12">
        <v>36.25</v>
      </c>
    </row>
    <row r="151" spans="1:5" x14ac:dyDescent="0.25">
      <c r="A151" s="30" t="s">
        <v>25</v>
      </c>
      <c r="B151" s="30" t="s">
        <v>90</v>
      </c>
      <c r="C151" s="30" t="s">
        <v>27</v>
      </c>
      <c r="D151" s="11" t="s">
        <v>66</v>
      </c>
      <c r="E151" s="12">
        <v>21.916667</v>
      </c>
    </row>
    <row r="152" spans="1:5" x14ac:dyDescent="0.25">
      <c r="A152" s="30" t="s">
        <v>25</v>
      </c>
      <c r="B152" s="30" t="s">
        <v>90</v>
      </c>
      <c r="C152" s="30" t="s">
        <v>27</v>
      </c>
      <c r="D152" s="11" t="s">
        <v>73</v>
      </c>
      <c r="E152" s="12">
        <v>9.6666670000000003</v>
      </c>
    </row>
    <row r="153" spans="1:5" x14ac:dyDescent="0.25">
      <c r="A153" s="30" t="s">
        <v>25</v>
      </c>
      <c r="B153" s="30" t="s">
        <v>90</v>
      </c>
      <c r="C153" s="30" t="s">
        <v>27</v>
      </c>
      <c r="D153" s="11" t="s">
        <v>74</v>
      </c>
      <c r="E153" s="12">
        <v>1.1666669999999999</v>
      </c>
    </row>
    <row r="154" spans="1:5" x14ac:dyDescent="0.25">
      <c r="A154" s="30" t="s">
        <v>25</v>
      </c>
      <c r="B154" s="30" t="s">
        <v>90</v>
      </c>
      <c r="C154" s="11" t="s">
        <v>24</v>
      </c>
      <c r="D154" s="11" t="s">
        <v>0</v>
      </c>
      <c r="E154" s="12">
        <v>290.16666700000002</v>
      </c>
    </row>
    <row r="155" spans="1:5" x14ac:dyDescent="0.25">
      <c r="A155" s="30" t="s">
        <v>25</v>
      </c>
      <c r="B155" s="30" t="s">
        <v>90</v>
      </c>
      <c r="C155" s="30" t="s">
        <v>24</v>
      </c>
      <c r="D155" s="11" t="s">
        <v>66</v>
      </c>
      <c r="E155" s="12">
        <v>150.16666699999999</v>
      </c>
    </row>
    <row r="156" spans="1:5" x14ac:dyDescent="0.25">
      <c r="A156" s="30" t="s">
        <v>25</v>
      </c>
      <c r="B156" s="30" t="s">
        <v>90</v>
      </c>
      <c r="C156" s="30" t="s">
        <v>24</v>
      </c>
      <c r="D156" s="11" t="s">
        <v>67</v>
      </c>
      <c r="E156" s="12">
        <v>80.5</v>
      </c>
    </row>
    <row r="157" spans="1:5" x14ac:dyDescent="0.25">
      <c r="A157" s="30" t="s">
        <v>25</v>
      </c>
      <c r="B157" s="30" t="s">
        <v>90</v>
      </c>
      <c r="C157" s="30" t="s">
        <v>24</v>
      </c>
      <c r="D157" s="11" t="s">
        <v>71</v>
      </c>
      <c r="E157" s="12">
        <v>40.833333000000003</v>
      </c>
    </row>
    <row r="158" spans="1:5" x14ac:dyDescent="0.25">
      <c r="A158" s="30" t="s">
        <v>25</v>
      </c>
      <c r="B158" s="30" t="s">
        <v>90</v>
      </c>
      <c r="C158" s="30" t="s">
        <v>24</v>
      </c>
      <c r="D158" s="11" t="s">
        <v>70</v>
      </c>
      <c r="E158" s="12">
        <v>13.75</v>
      </c>
    </row>
    <row r="159" spans="1:5" x14ac:dyDescent="0.25">
      <c r="A159" s="30" t="s">
        <v>25</v>
      </c>
      <c r="B159" s="30" t="s">
        <v>90</v>
      </c>
      <c r="C159" s="30" t="s">
        <v>24</v>
      </c>
      <c r="D159" s="11" t="s">
        <v>73</v>
      </c>
      <c r="E159" s="12">
        <v>4.9166670000000003</v>
      </c>
    </row>
    <row r="160" spans="1:5" x14ac:dyDescent="0.25">
      <c r="A160" s="30" t="s">
        <v>25</v>
      </c>
      <c r="B160" s="30" t="s">
        <v>90</v>
      </c>
      <c r="C160" s="30" t="s">
        <v>24</v>
      </c>
      <c r="D160" s="11" t="s">
        <v>74</v>
      </c>
      <c r="E160" s="12">
        <v>0</v>
      </c>
    </row>
    <row r="161" spans="1:5" x14ac:dyDescent="0.25">
      <c r="A161" s="30" t="s">
        <v>25</v>
      </c>
      <c r="B161" s="11" t="s">
        <v>96</v>
      </c>
      <c r="C161" s="11" t="s">
        <v>0</v>
      </c>
      <c r="D161" s="14" t="s">
        <v>0</v>
      </c>
      <c r="E161" s="12">
        <v>466.16666700000002</v>
      </c>
    </row>
    <row r="162" spans="1:5" x14ac:dyDescent="0.25">
      <c r="A162" s="30" t="s">
        <v>25</v>
      </c>
      <c r="B162" s="30" t="s">
        <v>96</v>
      </c>
      <c r="C162" s="11" t="s">
        <v>35</v>
      </c>
      <c r="D162" s="11" t="s">
        <v>0</v>
      </c>
      <c r="E162" s="12">
        <v>466.16666700000002</v>
      </c>
    </row>
    <row r="163" spans="1:5" x14ac:dyDescent="0.25">
      <c r="A163" s="30" t="s">
        <v>25</v>
      </c>
      <c r="B163" s="30" t="s">
        <v>96</v>
      </c>
      <c r="C163" s="30" t="s">
        <v>35</v>
      </c>
      <c r="D163" s="11" t="s">
        <v>66</v>
      </c>
      <c r="E163" s="12">
        <v>256.25</v>
      </c>
    </row>
    <row r="164" spans="1:5" x14ac:dyDescent="0.25">
      <c r="A164" s="30" t="s">
        <v>25</v>
      </c>
      <c r="B164" s="30" t="s">
        <v>96</v>
      </c>
      <c r="C164" s="30" t="s">
        <v>35</v>
      </c>
      <c r="D164" s="11" t="s">
        <v>67</v>
      </c>
      <c r="E164" s="12">
        <v>177.75</v>
      </c>
    </row>
    <row r="165" spans="1:5" x14ac:dyDescent="0.25">
      <c r="A165" s="30" t="s">
        <v>25</v>
      </c>
      <c r="B165" s="30" t="s">
        <v>96</v>
      </c>
      <c r="C165" s="30" t="s">
        <v>35</v>
      </c>
      <c r="D165" s="11" t="s">
        <v>70</v>
      </c>
      <c r="E165" s="12">
        <v>9.9166670000000003</v>
      </c>
    </row>
    <row r="166" spans="1:5" x14ac:dyDescent="0.25">
      <c r="A166" s="30" t="s">
        <v>25</v>
      </c>
      <c r="B166" s="30" t="s">
        <v>96</v>
      </c>
      <c r="C166" s="30" t="s">
        <v>35</v>
      </c>
      <c r="D166" s="11" t="s">
        <v>69</v>
      </c>
      <c r="E166" s="12">
        <v>7.9166670000000003</v>
      </c>
    </row>
    <row r="167" spans="1:5" x14ac:dyDescent="0.25">
      <c r="A167" s="30" t="s">
        <v>25</v>
      </c>
      <c r="B167" s="30" t="s">
        <v>96</v>
      </c>
      <c r="C167" s="30" t="s">
        <v>35</v>
      </c>
      <c r="D167" s="11" t="s">
        <v>71</v>
      </c>
      <c r="E167" s="12">
        <v>7.75</v>
      </c>
    </row>
    <row r="168" spans="1:5" x14ac:dyDescent="0.25">
      <c r="A168" s="30" t="s">
        <v>25</v>
      </c>
      <c r="B168" s="30" t="s">
        <v>96</v>
      </c>
      <c r="C168" s="30" t="s">
        <v>35</v>
      </c>
      <c r="D168" s="11" t="s">
        <v>73</v>
      </c>
      <c r="E168" s="12">
        <v>6.5833329999999997</v>
      </c>
    </row>
    <row r="169" spans="1:5" x14ac:dyDescent="0.25">
      <c r="A169" s="30" t="s">
        <v>25</v>
      </c>
      <c r="B169" s="11" t="s">
        <v>97</v>
      </c>
      <c r="C169" s="11" t="s">
        <v>0</v>
      </c>
      <c r="D169" s="14" t="s">
        <v>0</v>
      </c>
      <c r="E169" s="12">
        <v>75.333333999999994</v>
      </c>
    </row>
    <row r="170" spans="1:5" x14ac:dyDescent="0.25">
      <c r="A170" s="30" t="s">
        <v>25</v>
      </c>
      <c r="B170" s="30" t="s">
        <v>97</v>
      </c>
      <c r="C170" s="11" t="s">
        <v>30</v>
      </c>
      <c r="D170" s="11" t="s">
        <v>0</v>
      </c>
      <c r="E170" s="12">
        <v>44.083334000000001</v>
      </c>
    </row>
    <row r="171" spans="1:5" x14ac:dyDescent="0.25">
      <c r="A171" s="30" t="s">
        <v>25</v>
      </c>
      <c r="B171" s="30" t="s">
        <v>97</v>
      </c>
      <c r="C171" s="30" t="s">
        <v>30</v>
      </c>
      <c r="D171" s="11" t="s">
        <v>66</v>
      </c>
      <c r="E171" s="12">
        <v>21.166667</v>
      </c>
    </row>
    <row r="172" spans="1:5" x14ac:dyDescent="0.25">
      <c r="A172" s="30" t="s">
        <v>25</v>
      </c>
      <c r="B172" s="30" t="s">
        <v>97</v>
      </c>
      <c r="C172" s="30" t="s">
        <v>30</v>
      </c>
      <c r="D172" s="11" t="s">
        <v>67</v>
      </c>
      <c r="E172" s="12">
        <v>9</v>
      </c>
    </row>
    <row r="173" spans="1:5" x14ac:dyDescent="0.25">
      <c r="A173" s="30" t="s">
        <v>25</v>
      </c>
      <c r="B173" s="30" t="s">
        <v>97</v>
      </c>
      <c r="C173" s="30" t="s">
        <v>30</v>
      </c>
      <c r="D173" s="11" t="s">
        <v>69</v>
      </c>
      <c r="E173" s="12">
        <v>5.5833329999999997</v>
      </c>
    </row>
    <row r="174" spans="1:5" x14ac:dyDescent="0.25">
      <c r="A174" s="30" t="s">
        <v>25</v>
      </c>
      <c r="B174" s="30" t="s">
        <v>97</v>
      </c>
      <c r="C174" s="30" t="s">
        <v>30</v>
      </c>
      <c r="D174" s="11" t="s">
        <v>71</v>
      </c>
      <c r="E174" s="12">
        <v>4.4166670000000003</v>
      </c>
    </row>
    <row r="175" spans="1:5" x14ac:dyDescent="0.25">
      <c r="A175" s="30" t="s">
        <v>25</v>
      </c>
      <c r="B175" s="30" t="s">
        <v>97</v>
      </c>
      <c r="C175" s="30" t="s">
        <v>30</v>
      </c>
      <c r="D175" s="11" t="s">
        <v>70</v>
      </c>
      <c r="E175" s="12">
        <v>3.9166669999999999</v>
      </c>
    </row>
    <row r="176" spans="1:5" x14ac:dyDescent="0.25">
      <c r="A176" s="30" t="s">
        <v>25</v>
      </c>
      <c r="B176" s="30" t="s">
        <v>97</v>
      </c>
      <c r="C176" s="30" t="s">
        <v>30</v>
      </c>
      <c r="D176" s="11" t="s">
        <v>72</v>
      </c>
      <c r="E176" s="12">
        <v>0</v>
      </c>
    </row>
    <row r="177" spans="1:5" x14ac:dyDescent="0.25">
      <c r="A177" s="30" t="s">
        <v>25</v>
      </c>
      <c r="B177" s="30" t="s">
        <v>97</v>
      </c>
      <c r="C177" s="11" t="s">
        <v>29</v>
      </c>
      <c r="D177" s="11" t="s">
        <v>0</v>
      </c>
      <c r="E177" s="12">
        <v>31.25</v>
      </c>
    </row>
    <row r="178" spans="1:5" x14ac:dyDescent="0.25">
      <c r="A178" s="30" t="s">
        <v>25</v>
      </c>
      <c r="B178" s="30" t="s">
        <v>97</v>
      </c>
      <c r="C178" s="30" t="s">
        <v>29</v>
      </c>
      <c r="D178" s="11" t="s">
        <v>66</v>
      </c>
      <c r="E178" s="12">
        <v>31.25</v>
      </c>
    </row>
    <row r="179" spans="1:5" x14ac:dyDescent="0.25">
      <c r="A179" s="30" t="s">
        <v>25</v>
      </c>
      <c r="B179" s="11" t="s">
        <v>98</v>
      </c>
      <c r="C179" s="11" t="s">
        <v>0</v>
      </c>
      <c r="D179" s="14" t="s">
        <v>0</v>
      </c>
      <c r="E179" s="12">
        <v>47.083333000000003</v>
      </c>
    </row>
    <row r="180" spans="1:5" x14ac:dyDescent="0.25">
      <c r="A180" s="30" t="s">
        <v>25</v>
      </c>
      <c r="B180" s="30" t="s">
        <v>98</v>
      </c>
      <c r="C180" s="11" t="s">
        <v>31</v>
      </c>
      <c r="D180" s="11" t="s">
        <v>0</v>
      </c>
      <c r="E180" s="12">
        <v>1.1666669999999999</v>
      </c>
    </row>
    <row r="181" spans="1:5" x14ac:dyDescent="0.25">
      <c r="A181" s="30" t="s">
        <v>25</v>
      </c>
      <c r="B181" s="30" t="s">
        <v>98</v>
      </c>
      <c r="C181" s="30" t="s">
        <v>31</v>
      </c>
      <c r="D181" s="11" t="s">
        <v>67</v>
      </c>
      <c r="E181" s="12">
        <v>1.1666669999999999</v>
      </c>
    </row>
    <row r="182" spans="1:5" x14ac:dyDescent="0.25">
      <c r="A182" s="30" t="s">
        <v>25</v>
      </c>
      <c r="B182" s="30" t="s">
        <v>98</v>
      </c>
      <c r="C182" s="11" t="s">
        <v>32</v>
      </c>
      <c r="D182" s="11" t="s">
        <v>0</v>
      </c>
      <c r="E182" s="12">
        <v>45.916665999999999</v>
      </c>
    </row>
    <row r="183" spans="1:5" x14ac:dyDescent="0.25">
      <c r="A183" s="30" t="s">
        <v>25</v>
      </c>
      <c r="B183" s="30" t="s">
        <v>98</v>
      </c>
      <c r="C183" s="30" t="s">
        <v>32</v>
      </c>
      <c r="D183" s="11" t="s">
        <v>66</v>
      </c>
      <c r="E183" s="12">
        <v>45.916665999999999</v>
      </c>
    </row>
    <row r="184" spans="1:5" x14ac:dyDescent="0.25">
      <c r="A184" s="30" t="s">
        <v>25</v>
      </c>
      <c r="B184" s="11" t="s">
        <v>99</v>
      </c>
      <c r="C184" s="11" t="s">
        <v>0</v>
      </c>
      <c r="D184" s="14" t="s">
        <v>0</v>
      </c>
      <c r="E184" s="12">
        <v>39</v>
      </c>
    </row>
    <row r="185" spans="1:5" x14ac:dyDescent="0.25">
      <c r="A185" s="30" t="s">
        <v>25</v>
      </c>
      <c r="B185" s="30" t="s">
        <v>99</v>
      </c>
      <c r="C185" s="11" t="s">
        <v>100</v>
      </c>
      <c r="D185" s="11" t="s">
        <v>0</v>
      </c>
      <c r="E185" s="12">
        <v>17.416667</v>
      </c>
    </row>
    <row r="186" spans="1:5" x14ac:dyDescent="0.25">
      <c r="A186" s="30" t="s">
        <v>25</v>
      </c>
      <c r="B186" s="30" t="s">
        <v>99</v>
      </c>
      <c r="C186" s="30" t="s">
        <v>100</v>
      </c>
      <c r="D186" s="11" t="s">
        <v>67</v>
      </c>
      <c r="E186" s="12">
        <v>17.416667</v>
      </c>
    </row>
    <row r="187" spans="1:5" x14ac:dyDescent="0.25">
      <c r="A187" s="30" t="s">
        <v>25</v>
      </c>
      <c r="B187" s="30" t="s">
        <v>99</v>
      </c>
      <c r="C187" s="11" t="s">
        <v>28</v>
      </c>
      <c r="D187" s="11" t="s">
        <v>0</v>
      </c>
      <c r="E187" s="12">
        <v>21.583333</v>
      </c>
    </row>
    <row r="188" spans="1:5" x14ac:dyDescent="0.25">
      <c r="A188" s="30" t="s">
        <v>25</v>
      </c>
      <c r="B188" s="30" t="s">
        <v>99</v>
      </c>
      <c r="C188" s="30" t="s">
        <v>28</v>
      </c>
      <c r="D188" s="11" t="s">
        <v>66</v>
      </c>
      <c r="E188" s="12">
        <v>13</v>
      </c>
    </row>
    <row r="189" spans="1:5" x14ac:dyDescent="0.25">
      <c r="A189" s="30" t="s">
        <v>25</v>
      </c>
      <c r="B189" s="30" t="s">
        <v>99</v>
      </c>
      <c r="C189" s="30" t="s">
        <v>28</v>
      </c>
      <c r="D189" s="11" t="s">
        <v>69</v>
      </c>
      <c r="E189" s="12">
        <v>5.6666670000000003</v>
      </c>
    </row>
    <row r="190" spans="1:5" x14ac:dyDescent="0.25">
      <c r="A190" s="30" t="s">
        <v>25</v>
      </c>
      <c r="B190" s="30" t="s">
        <v>99</v>
      </c>
      <c r="C190" s="30" t="s">
        <v>28</v>
      </c>
      <c r="D190" s="11" t="s">
        <v>70</v>
      </c>
      <c r="E190" s="12">
        <v>2.9166660000000002</v>
      </c>
    </row>
    <row r="191" spans="1:5" x14ac:dyDescent="0.25">
      <c r="A191" s="30" t="s">
        <v>25</v>
      </c>
      <c r="B191" s="11" t="s">
        <v>101</v>
      </c>
      <c r="C191" s="11" t="s">
        <v>0</v>
      </c>
      <c r="D191" s="14" t="s">
        <v>0</v>
      </c>
      <c r="E191" s="12">
        <v>8.9166670000000003</v>
      </c>
    </row>
    <row r="192" spans="1:5" x14ac:dyDescent="0.25">
      <c r="A192" s="30" t="s">
        <v>25</v>
      </c>
      <c r="B192" s="30" t="s">
        <v>101</v>
      </c>
      <c r="C192" s="11" t="s">
        <v>102</v>
      </c>
      <c r="D192" s="11" t="s">
        <v>0</v>
      </c>
      <c r="E192" s="12">
        <v>8.9166670000000003</v>
      </c>
    </row>
    <row r="193" spans="1:5" x14ac:dyDescent="0.25">
      <c r="A193" s="30" t="s">
        <v>25</v>
      </c>
      <c r="B193" s="30" t="s">
        <v>101</v>
      </c>
      <c r="C193" s="30" t="s">
        <v>102</v>
      </c>
      <c r="D193" s="11" t="s">
        <v>66</v>
      </c>
      <c r="E193" s="12">
        <v>5.9166670000000003</v>
      </c>
    </row>
    <row r="194" spans="1:5" x14ac:dyDescent="0.25">
      <c r="A194" s="30" t="s">
        <v>25</v>
      </c>
      <c r="B194" s="30" t="s">
        <v>101</v>
      </c>
      <c r="C194" s="30" t="s">
        <v>102</v>
      </c>
      <c r="D194" s="11" t="s">
        <v>67</v>
      </c>
      <c r="E194" s="12">
        <v>3</v>
      </c>
    </row>
    <row r="195" spans="1:5" x14ac:dyDescent="0.25">
      <c r="A195" s="30" t="s">
        <v>25</v>
      </c>
      <c r="B195" s="11" t="s">
        <v>103</v>
      </c>
      <c r="C195" s="11" t="s">
        <v>0</v>
      </c>
      <c r="D195" s="14" t="s">
        <v>0</v>
      </c>
      <c r="E195" s="12">
        <v>3.8333330000000001</v>
      </c>
    </row>
    <row r="196" spans="1:5" x14ac:dyDescent="0.25">
      <c r="A196" s="30" t="s">
        <v>25</v>
      </c>
      <c r="B196" s="30" t="s">
        <v>103</v>
      </c>
      <c r="C196" s="11" t="s">
        <v>33</v>
      </c>
      <c r="D196" s="11" t="s">
        <v>0</v>
      </c>
      <c r="E196" s="12">
        <v>3.8333330000000001</v>
      </c>
    </row>
    <row r="197" spans="1:5" x14ac:dyDescent="0.25">
      <c r="A197" s="30" t="s">
        <v>25</v>
      </c>
      <c r="B197" s="30" t="s">
        <v>103</v>
      </c>
      <c r="C197" s="30" t="s">
        <v>33</v>
      </c>
      <c r="D197" s="11" t="s">
        <v>66</v>
      </c>
      <c r="E197" s="12">
        <v>3.8333330000000001</v>
      </c>
    </row>
    <row r="198" spans="1:5" x14ac:dyDescent="0.25">
      <c r="A198" s="30" t="s">
        <v>25</v>
      </c>
      <c r="B198" s="30" t="s">
        <v>103</v>
      </c>
      <c r="C198" s="30" t="s">
        <v>33</v>
      </c>
      <c r="D198" s="11" t="s">
        <v>70</v>
      </c>
      <c r="E198" s="12">
        <v>0</v>
      </c>
    </row>
    <row r="199" spans="1:5" x14ac:dyDescent="0.25">
      <c r="A199" s="30" t="s">
        <v>25</v>
      </c>
      <c r="B199" s="11" t="s">
        <v>104</v>
      </c>
      <c r="C199" s="11" t="s">
        <v>0</v>
      </c>
      <c r="D199" s="14" t="s">
        <v>0</v>
      </c>
      <c r="E199" s="12">
        <v>0</v>
      </c>
    </row>
    <row r="200" spans="1:5" x14ac:dyDescent="0.25">
      <c r="A200" s="30" t="s">
        <v>25</v>
      </c>
      <c r="B200" s="30" t="s">
        <v>104</v>
      </c>
      <c r="C200" s="11" t="s">
        <v>34</v>
      </c>
      <c r="D200" s="11" t="s">
        <v>0</v>
      </c>
      <c r="E200" s="12">
        <v>0</v>
      </c>
    </row>
    <row r="201" spans="1:5" x14ac:dyDescent="0.25">
      <c r="A201" s="30" t="s">
        <v>25</v>
      </c>
      <c r="B201" s="30" t="s">
        <v>104</v>
      </c>
      <c r="C201" s="30" t="s">
        <v>34</v>
      </c>
      <c r="D201" s="11" t="s">
        <v>66</v>
      </c>
      <c r="E201" s="12">
        <v>0</v>
      </c>
    </row>
    <row r="202" spans="1:5" x14ac:dyDescent="0.25">
      <c r="A202" s="11" t="s">
        <v>10</v>
      </c>
      <c r="B202" s="11" t="s">
        <v>0</v>
      </c>
      <c r="C202" s="14" t="s">
        <v>0</v>
      </c>
      <c r="D202" s="14" t="s">
        <v>0</v>
      </c>
      <c r="E202" s="12">
        <v>634.50000199999999</v>
      </c>
    </row>
    <row r="203" spans="1:5" x14ac:dyDescent="0.25">
      <c r="A203" s="30" t="s">
        <v>10</v>
      </c>
      <c r="B203" s="11" t="s">
        <v>105</v>
      </c>
      <c r="C203" s="11" t="s">
        <v>0</v>
      </c>
      <c r="D203" s="14" t="s">
        <v>0</v>
      </c>
      <c r="E203" s="12">
        <v>390.91666700000002</v>
      </c>
    </row>
    <row r="204" spans="1:5" x14ac:dyDescent="0.25">
      <c r="A204" s="30" t="s">
        <v>10</v>
      </c>
      <c r="B204" s="30" t="s">
        <v>105</v>
      </c>
      <c r="C204" s="11" t="s">
        <v>38</v>
      </c>
      <c r="D204" s="11" t="s">
        <v>0</v>
      </c>
      <c r="E204" s="12">
        <v>23.166667</v>
      </c>
    </row>
    <row r="205" spans="1:5" x14ac:dyDescent="0.25">
      <c r="A205" s="30" t="s">
        <v>10</v>
      </c>
      <c r="B205" s="30" t="s">
        <v>105</v>
      </c>
      <c r="C205" s="30" t="s">
        <v>38</v>
      </c>
      <c r="D205" s="11" t="s">
        <v>66</v>
      </c>
      <c r="E205" s="12">
        <v>23.166667</v>
      </c>
    </row>
    <row r="206" spans="1:5" x14ac:dyDescent="0.25">
      <c r="A206" s="30" t="s">
        <v>10</v>
      </c>
      <c r="B206" s="30" t="s">
        <v>105</v>
      </c>
      <c r="C206" s="30" t="s">
        <v>38</v>
      </c>
      <c r="D206" s="11" t="s">
        <v>73</v>
      </c>
      <c r="E206" s="12">
        <v>0</v>
      </c>
    </row>
    <row r="207" spans="1:5" x14ac:dyDescent="0.25">
      <c r="A207" s="30" t="s">
        <v>10</v>
      </c>
      <c r="B207" s="30" t="s">
        <v>105</v>
      </c>
      <c r="C207" s="11" t="s">
        <v>37</v>
      </c>
      <c r="D207" s="11" t="s">
        <v>0</v>
      </c>
      <c r="E207" s="12">
        <v>270.83333299999998</v>
      </c>
    </row>
    <row r="208" spans="1:5" x14ac:dyDescent="0.25">
      <c r="A208" s="30" t="s">
        <v>10</v>
      </c>
      <c r="B208" s="30" t="s">
        <v>105</v>
      </c>
      <c r="C208" s="30" t="s">
        <v>37</v>
      </c>
      <c r="D208" s="11" t="s">
        <v>66</v>
      </c>
      <c r="E208" s="12">
        <v>156.25</v>
      </c>
    </row>
    <row r="209" spans="1:5" x14ac:dyDescent="0.25">
      <c r="A209" s="30" t="s">
        <v>10</v>
      </c>
      <c r="B209" s="30" t="s">
        <v>105</v>
      </c>
      <c r="C209" s="30" t="s">
        <v>37</v>
      </c>
      <c r="D209" s="11" t="s">
        <v>67</v>
      </c>
      <c r="E209" s="12">
        <v>101.083333</v>
      </c>
    </row>
    <row r="210" spans="1:5" x14ac:dyDescent="0.25">
      <c r="A210" s="30" t="s">
        <v>10</v>
      </c>
      <c r="B210" s="30" t="s">
        <v>105</v>
      </c>
      <c r="C210" s="30" t="s">
        <v>37</v>
      </c>
      <c r="D210" s="11" t="s">
        <v>73</v>
      </c>
      <c r="E210" s="12">
        <v>6.6666670000000003</v>
      </c>
    </row>
    <row r="211" spans="1:5" x14ac:dyDescent="0.25">
      <c r="A211" s="30" t="s">
        <v>10</v>
      </c>
      <c r="B211" s="30" t="s">
        <v>105</v>
      </c>
      <c r="C211" s="30" t="s">
        <v>37</v>
      </c>
      <c r="D211" s="11" t="s">
        <v>74</v>
      </c>
      <c r="E211" s="12">
        <v>4.5</v>
      </c>
    </row>
    <row r="212" spans="1:5" x14ac:dyDescent="0.25">
      <c r="A212" s="30" t="s">
        <v>10</v>
      </c>
      <c r="B212" s="30" t="s">
        <v>105</v>
      </c>
      <c r="C212" s="30" t="s">
        <v>37</v>
      </c>
      <c r="D212" s="11" t="s">
        <v>72</v>
      </c>
      <c r="E212" s="12">
        <v>1.8333330000000001</v>
      </c>
    </row>
    <row r="213" spans="1:5" x14ac:dyDescent="0.25">
      <c r="A213" s="30" t="s">
        <v>10</v>
      </c>
      <c r="B213" s="30" t="s">
        <v>105</v>
      </c>
      <c r="C213" s="30" t="s">
        <v>37</v>
      </c>
      <c r="D213" s="11" t="s">
        <v>70</v>
      </c>
      <c r="E213" s="12">
        <v>0.5</v>
      </c>
    </row>
    <row r="214" spans="1:5" x14ac:dyDescent="0.25">
      <c r="A214" s="30" t="s">
        <v>10</v>
      </c>
      <c r="B214" s="30" t="s">
        <v>105</v>
      </c>
      <c r="C214" s="30" t="s">
        <v>37</v>
      </c>
      <c r="D214" s="11" t="s">
        <v>71</v>
      </c>
      <c r="E214" s="12">
        <v>0</v>
      </c>
    </row>
    <row r="215" spans="1:5" x14ac:dyDescent="0.25">
      <c r="A215" s="30" t="s">
        <v>10</v>
      </c>
      <c r="B215" s="30" t="s">
        <v>105</v>
      </c>
      <c r="C215" s="11" t="s">
        <v>36</v>
      </c>
      <c r="D215" s="11" t="s">
        <v>0</v>
      </c>
      <c r="E215" s="12">
        <v>96.916667000000004</v>
      </c>
    </row>
    <row r="216" spans="1:5" x14ac:dyDescent="0.25">
      <c r="A216" s="30" t="s">
        <v>10</v>
      </c>
      <c r="B216" s="30" t="s">
        <v>105</v>
      </c>
      <c r="C216" s="30" t="s">
        <v>36</v>
      </c>
      <c r="D216" s="11" t="s">
        <v>71</v>
      </c>
      <c r="E216" s="12">
        <v>55</v>
      </c>
    </row>
    <row r="217" spans="1:5" x14ac:dyDescent="0.25">
      <c r="A217" s="30" t="s">
        <v>10</v>
      </c>
      <c r="B217" s="30" t="s">
        <v>105</v>
      </c>
      <c r="C217" s="30" t="s">
        <v>36</v>
      </c>
      <c r="D217" s="11" t="s">
        <v>73</v>
      </c>
      <c r="E217" s="12">
        <v>23.666667</v>
      </c>
    </row>
    <row r="218" spans="1:5" x14ac:dyDescent="0.25">
      <c r="A218" s="30" t="s">
        <v>10</v>
      </c>
      <c r="B218" s="30" t="s">
        <v>105</v>
      </c>
      <c r="C218" s="30" t="s">
        <v>36</v>
      </c>
      <c r="D218" s="11" t="s">
        <v>66</v>
      </c>
      <c r="E218" s="12">
        <v>13.083333</v>
      </c>
    </row>
    <row r="219" spans="1:5" x14ac:dyDescent="0.25">
      <c r="A219" s="30" t="s">
        <v>10</v>
      </c>
      <c r="B219" s="30" t="s">
        <v>105</v>
      </c>
      <c r="C219" s="30" t="s">
        <v>36</v>
      </c>
      <c r="D219" s="11" t="s">
        <v>69</v>
      </c>
      <c r="E219" s="12">
        <v>3.25</v>
      </c>
    </row>
    <row r="220" spans="1:5" x14ac:dyDescent="0.25">
      <c r="A220" s="30" t="s">
        <v>10</v>
      </c>
      <c r="B220" s="30" t="s">
        <v>105</v>
      </c>
      <c r="C220" s="30" t="s">
        <v>36</v>
      </c>
      <c r="D220" s="11" t="s">
        <v>67</v>
      </c>
      <c r="E220" s="12">
        <v>1.9166669999999999</v>
      </c>
    </row>
    <row r="221" spans="1:5" x14ac:dyDescent="0.25">
      <c r="A221" s="30" t="s">
        <v>10</v>
      </c>
      <c r="B221" s="11" t="s">
        <v>106</v>
      </c>
      <c r="C221" s="11" t="s">
        <v>0</v>
      </c>
      <c r="D221" s="14" t="s">
        <v>0</v>
      </c>
      <c r="E221" s="12">
        <v>76.5</v>
      </c>
    </row>
    <row r="222" spans="1:5" x14ac:dyDescent="0.25">
      <c r="A222" s="30" t="s">
        <v>10</v>
      </c>
      <c r="B222" s="30" t="s">
        <v>106</v>
      </c>
      <c r="C222" s="11" t="s">
        <v>41</v>
      </c>
      <c r="D222" s="11" t="s">
        <v>0</v>
      </c>
      <c r="E222" s="12">
        <v>76.5</v>
      </c>
    </row>
    <row r="223" spans="1:5" x14ac:dyDescent="0.25">
      <c r="A223" s="30" t="s">
        <v>10</v>
      </c>
      <c r="B223" s="30" t="s">
        <v>106</v>
      </c>
      <c r="C223" s="30" t="s">
        <v>41</v>
      </c>
      <c r="D223" s="11" t="s">
        <v>66</v>
      </c>
      <c r="E223" s="12">
        <v>27.916667</v>
      </c>
    </row>
    <row r="224" spans="1:5" x14ac:dyDescent="0.25">
      <c r="A224" s="30" t="s">
        <v>10</v>
      </c>
      <c r="B224" s="30" t="s">
        <v>106</v>
      </c>
      <c r="C224" s="30" t="s">
        <v>41</v>
      </c>
      <c r="D224" s="11" t="s">
        <v>70</v>
      </c>
      <c r="E224" s="12">
        <v>16.083333</v>
      </c>
    </row>
    <row r="225" spans="1:5" x14ac:dyDescent="0.25">
      <c r="A225" s="30" t="s">
        <v>10</v>
      </c>
      <c r="B225" s="30" t="s">
        <v>106</v>
      </c>
      <c r="C225" s="30" t="s">
        <v>41</v>
      </c>
      <c r="D225" s="11" t="s">
        <v>67</v>
      </c>
      <c r="E225" s="12">
        <v>13.166667</v>
      </c>
    </row>
    <row r="226" spans="1:5" x14ac:dyDescent="0.25">
      <c r="A226" s="30" t="s">
        <v>10</v>
      </c>
      <c r="B226" s="30" t="s">
        <v>106</v>
      </c>
      <c r="C226" s="30" t="s">
        <v>41</v>
      </c>
      <c r="D226" s="11" t="s">
        <v>71</v>
      </c>
      <c r="E226" s="12">
        <v>11.5</v>
      </c>
    </row>
    <row r="227" spans="1:5" x14ac:dyDescent="0.25">
      <c r="A227" s="30" t="s">
        <v>10</v>
      </c>
      <c r="B227" s="30" t="s">
        <v>106</v>
      </c>
      <c r="C227" s="30" t="s">
        <v>41</v>
      </c>
      <c r="D227" s="11" t="s">
        <v>73</v>
      </c>
      <c r="E227" s="12">
        <v>7.8333329999999997</v>
      </c>
    </row>
    <row r="228" spans="1:5" x14ac:dyDescent="0.25">
      <c r="A228" s="30" t="s">
        <v>10</v>
      </c>
      <c r="B228" s="30" t="s">
        <v>106</v>
      </c>
      <c r="C228" s="30" t="s">
        <v>41</v>
      </c>
      <c r="D228" s="11" t="s">
        <v>72</v>
      </c>
      <c r="E228" s="12">
        <v>0</v>
      </c>
    </row>
    <row r="229" spans="1:5" x14ac:dyDescent="0.25">
      <c r="A229" s="30" t="s">
        <v>10</v>
      </c>
      <c r="B229" s="30" t="s">
        <v>106</v>
      </c>
      <c r="C229" s="30" t="s">
        <v>41</v>
      </c>
      <c r="D229" s="11" t="s">
        <v>74</v>
      </c>
      <c r="E229" s="12">
        <v>0</v>
      </c>
    </row>
    <row r="230" spans="1:5" x14ac:dyDescent="0.25">
      <c r="A230" s="30" t="s">
        <v>10</v>
      </c>
      <c r="B230" s="11" t="s">
        <v>107</v>
      </c>
      <c r="C230" s="11" t="s">
        <v>0</v>
      </c>
      <c r="D230" s="14" t="s">
        <v>0</v>
      </c>
      <c r="E230" s="12">
        <v>53</v>
      </c>
    </row>
    <row r="231" spans="1:5" x14ac:dyDescent="0.25">
      <c r="A231" s="30" t="s">
        <v>10</v>
      </c>
      <c r="B231" s="30" t="s">
        <v>107</v>
      </c>
      <c r="C231" s="11" t="s">
        <v>39</v>
      </c>
      <c r="D231" s="11" t="s">
        <v>0</v>
      </c>
      <c r="E231" s="12">
        <v>11</v>
      </c>
    </row>
    <row r="232" spans="1:5" x14ac:dyDescent="0.25">
      <c r="A232" s="30" t="s">
        <v>10</v>
      </c>
      <c r="B232" s="30" t="s">
        <v>107</v>
      </c>
      <c r="C232" s="30" t="s">
        <v>39</v>
      </c>
      <c r="D232" s="11" t="s">
        <v>71</v>
      </c>
      <c r="E232" s="12">
        <v>9</v>
      </c>
    </row>
    <row r="233" spans="1:5" x14ac:dyDescent="0.25">
      <c r="A233" s="30" t="s">
        <v>10</v>
      </c>
      <c r="B233" s="30" t="s">
        <v>107</v>
      </c>
      <c r="C233" s="30" t="s">
        <v>39</v>
      </c>
      <c r="D233" s="11" t="s">
        <v>72</v>
      </c>
      <c r="E233" s="12">
        <v>1</v>
      </c>
    </row>
    <row r="234" spans="1:5" x14ac:dyDescent="0.25">
      <c r="A234" s="30" t="s">
        <v>10</v>
      </c>
      <c r="B234" s="30" t="s">
        <v>107</v>
      </c>
      <c r="C234" s="30" t="s">
        <v>39</v>
      </c>
      <c r="D234" s="11" t="s">
        <v>66</v>
      </c>
      <c r="E234" s="12">
        <v>1</v>
      </c>
    </row>
    <row r="235" spans="1:5" x14ac:dyDescent="0.25">
      <c r="A235" s="30" t="s">
        <v>10</v>
      </c>
      <c r="B235" s="30" t="s">
        <v>107</v>
      </c>
      <c r="C235" s="11" t="s">
        <v>40</v>
      </c>
      <c r="D235" s="11" t="s">
        <v>0</v>
      </c>
      <c r="E235" s="12">
        <v>42</v>
      </c>
    </row>
    <row r="236" spans="1:5" x14ac:dyDescent="0.25">
      <c r="A236" s="30" t="s">
        <v>10</v>
      </c>
      <c r="B236" s="30" t="s">
        <v>107</v>
      </c>
      <c r="C236" s="30" t="s">
        <v>40</v>
      </c>
      <c r="D236" s="11" t="s">
        <v>67</v>
      </c>
      <c r="E236" s="12">
        <v>20</v>
      </c>
    </row>
    <row r="237" spans="1:5" x14ac:dyDescent="0.25">
      <c r="A237" s="30" t="s">
        <v>10</v>
      </c>
      <c r="B237" s="30" t="s">
        <v>107</v>
      </c>
      <c r="C237" s="30" t="s">
        <v>40</v>
      </c>
      <c r="D237" s="11" t="s">
        <v>66</v>
      </c>
      <c r="E237" s="12">
        <v>17</v>
      </c>
    </row>
    <row r="238" spans="1:5" x14ac:dyDescent="0.25">
      <c r="A238" s="30" t="s">
        <v>10</v>
      </c>
      <c r="B238" s="30" t="s">
        <v>107</v>
      </c>
      <c r="C238" s="30" t="s">
        <v>40</v>
      </c>
      <c r="D238" s="11" t="s">
        <v>74</v>
      </c>
      <c r="E238" s="12">
        <v>2</v>
      </c>
    </row>
    <row r="239" spans="1:5" x14ac:dyDescent="0.25">
      <c r="A239" s="30" t="s">
        <v>10</v>
      </c>
      <c r="B239" s="30" t="s">
        <v>107</v>
      </c>
      <c r="C239" s="30" t="s">
        <v>40</v>
      </c>
      <c r="D239" s="11" t="s">
        <v>70</v>
      </c>
      <c r="E239" s="12">
        <v>1</v>
      </c>
    </row>
    <row r="240" spans="1:5" x14ac:dyDescent="0.25">
      <c r="A240" s="30" t="s">
        <v>10</v>
      </c>
      <c r="B240" s="30" t="s">
        <v>107</v>
      </c>
      <c r="C240" s="30" t="s">
        <v>40</v>
      </c>
      <c r="D240" s="11" t="s">
        <v>72</v>
      </c>
      <c r="E240" s="12">
        <v>1</v>
      </c>
    </row>
    <row r="241" spans="1:5" x14ac:dyDescent="0.25">
      <c r="A241" s="30" t="s">
        <v>10</v>
      </c>
      <c r="B241" s="30" t="s">
        <v>107</v>
      </c>
      <c r="C241" s="30" t="s">
        <v>40</v>
      </c>
      <c r="D241" s="11" t="s">
        <v>73</v>
      </c>
      <c r="E241" s="12">
        <v>1</v>
      </c>
    </row>
    <row r="242" spans="1:5" x14ac:dyDescent="0.25">
      <c r="A242" s="30" t="s">
        <v>10</v>
      </c>
      <c r="B242" s="11" t="s">
        <v>108</v>
      </c>
      <c r="C242" s="11" t="s">
        <v>0</v>
      </c>
      <c r="D242" s="14" t="s">
        <v>0</v>
      </c>
      <c r="E242" s="12">
        <v>45.250000999999997</v>
      </c>
    </row>
    <row r="243" spans="1:5" x14ac:dyDescent="0.25">
      <c r="A243" s="30" t="s">
        <v>10</v>
      </c>
      <c r="B243" s="30" t="s">
        <v>108</v>
      </c>
      <c r="C243" s="11" t="s">
        <v>109</v>
      </c>
      <c r="D243" s="11" t="s">
        <v>0</v>
      </c>
      <c r="E243" s="12">
        <v>45.250000999999997</v>
      </c>
    </row>
    <row r="244" spans="1:5" x14ac:dyDescent="0.25">
      <c r="A244" s="30" t="s">
        <v>10</v>
      </c>
      <c r="B244" s="30" t="s">
        <v>108</v>
      </c>
      <c r="C244" s="30" t="s">
        <v>109</v>
      </c>
      <c r="D244" s="11" t="s">
        <v>67</v>
      </c>
      <c r="E244" s="12">
        <v>13.416667</v>
      </c>
    </row>
    <row r="245" spans="1:5" x14ac:dyDescent="0.25">
      <c r="A245" s="30" t="s">
        <v>10</v>
      </c>
      <c r="B245" s="30" t="s">
        <v>108</v>
      </c>
      <c r="C245" s="30" t="s">
        <v>109</v>
      </c>
      <c r="D245" s="11" t="s">
        <v>70</v>
      </c>
      <c r="E245" s="12">
        <v>13.25</v>
      </c>
    </row>
    <row r="246" spans="1:5" x14ac:dyDescent="0.25">
      <c r="A246" s="30" t="s">
        <v>10</v>
      </c>
      <c r="B246" s="30" t="s">
        <v>108</v>
      </c>
      <c r="C246" s="30" t="s">
        <v>109</v>
      </c>
      <c r="D246" s="11" t="s">
        <v>72</v>
      </c>
      <c r="E246" s="12">
        <v>6.6666670000000003</v>
      </c>
    </row>
    <row r="247" spans="1:5" x14ac:dyDescent="0.25">
      <c r="A247" s="30" t="s">
        <v>10</v>
      </c>
      <c r="B247" s="30" t="s">
        <v>108</v>
      </c>
      <c r="C247" s="30" t="s">
        <v>109</v>
      </c>
      <c r="D247" s="11" t="s">
        <v>73</v>
      </c>
      <c r="E247" s="12">
        <v>4.75</v>
      </c>
    </row>
    <row r="248" spans="1:5" x14ac:dyDescent="0.25">
      <c r="A248" s="30" t="s">
        <v>10</v>
      </c>
      <c r="B248" s="30" t="s">
        <v>108</v>
      </c>
      <c r="C248" s="30" t="s">
        <v>109</v>
      </c>
      <c r="D248" s="11" t="s">
        <v>66</v>
      </c>
      <c r="E248" s="12">
        <v>4.6666670000000003</v>
      </c>
    </row>
    <row r="249" spans="1:5" x14ac:dyDescent="0.25">
      <c r="A249" s="30" t="s">
        <v>10</v>
      </c>
      <c r="B249" s="30" t="s">
        <v>108</v>
      </c>
      <c r="C249" s="30" t="s">
        <v>109</v>
      </c>
      <c r="D249" s="11" t="s">
        <v>74</v>
      </c>
      <c r="E249" s="12">
        <v>2.25</v>
      </c>
    </row>
    <row r="250" spans="1:5" x14ac:dyDescent="0.25">
      <c r="A250" s="30" t="s">
        <v>10</v>
      </c>
      <c r="B250" s="30" t="s">
        <v>108</v>
      </c>
      <c r="C250" s="30" t="s">
        <v>109</v>
      </c>
      <c r="D250" s="11" t="s">
        <v>71</v>
      </c>
      <c r="E250" s="12">
        <v>0.25</v>
      </c>
    </row>
    <row r="251" spans="1:5" x14ac:dyDescent="0.25">
      <c r="A251" s="30" t="s">
        <v>10</v>
      </c>
      <c r="B251" s="11" t="s">
        <v>110</v>
      </c>
      <c r="C251" s="11" t="s">
        <v>0</v>
      </c>
      <c r="D251" s="14" t="s">
        <v>0</v>
      </c>
      <c r="E251" s="12">
        <v>39.166666999999997</v>
      </c>
    </row>
    <row r="252" spans="1:5" x14ac:dyDescent="0.25">
      <c r="A252" s="30" t="s">
        <v>10</v>
      </c>
      <c r="B252" s="30" t="s">
        <v>110</v>
      </c>
      <c r="C252" s="11" t="s">
        <v>42</v>
      </c>
      <c r="D252" s="11" t="s">
        <v>0</v>
      </c>
      <c r="E252" s="12">
        <v>39.166666999999997</v>
      </c>
    </row>
    <row r="253" spans="1:5" x14ac:dyDescent="0.25">
      <c r="A253" s="30" t="s">
        <v>10</v>
      </c>
      <c r="B253" s="30" t="s">
        <v>110</v>
      </c>
      <c r="C253" s="30" t="s">
        <v>42</v>
      </c>
      <c r="D253" s="11" t="s">
        <v>66</v>
      </c>
      <c r="E253" s="12">
        <v>31.166667</v>
      </c>
    </row>
    <row r="254" spans="1:5" x14ac:dyDescent="0.25">
      <c r="A254" s="30" t="s">
        <v>10</v>
      </c>
      <c r="B254" s="30" t="s">
        <v>110</v>
      </c>
      <c r="C254" s="30" t="s">
        <v>42</v>
      </c>
      <c r="D254" s="11" t="s">
        <v>74</v>
      </c>
      <c r="E254" s="12">
        <v>3.4166669999999999</v>
      </c>
    </row>
    <row r="255" spans="1:5" x14ac:dyDescent="0.25">
      <c r="A255" s="30" t="s">
        <v>10</v>
      </c>
      <c r="B255" s="30" t="s">
        <v>110</v>
      </c>
      <c r="C255" s="30" t="s">
        <v>42</v>
      </c>
      <c r="D255" s="11" t="s">
        <v>70</v>
      </c>
      <c r="E255" s="12">
        <v>2.0833330000000001</v>
      </c>
    </row>
    <row r="256" spans="1:5" x14ac:dyDescent="0.25">
      <c r="A256" s="30" t="s">
        <v>10</v>
      </c>
      <c r="B256" s="30" t="s">
        <v>110</v>
      </c>
      <c r="C256" s="30" t="s">
        <v>42</v>
      </c>
      <c r="D256" s="11" t="s">
        <v>67</v>
      </c>
      <c r="E256" s="12">
        <v>1.5833330000000001</v>
      </c>
    </row>
    <row r="257" spans="1:5" x14ac:dyDescent="0.25">
      <c r="A257" s="30" t="s">
        <v>10</v>
      </c>
      <c r="B257" s="30" t="s">
        <v>110</v>
      </c>
      <c r="C257" s="30" t="s">
        <v>42</v>
      </c>
      <c r="D257" s="11" t="s">
        <v>71</v>
      </c>
      <c r="E257" s="12">
        <v>0.91666700000000001</v>
      </c>
    </row>
    <row r="258" spans="1:5" x14ac:dyDescent="0.25">
      <c r="A258" s="30" t="s">
        <v>10</v>
      </c>
      <c r="B258" s="11" t="s">
        <v>111</v>
      </c>
      <c r="C258" s="11" t="s">
        <v>0</v>
      </c>
      <c r="D258" s="14" t="s">
        <v>0</v>
      </c>
      <c r="E258" s="12">
        <v>17.166667</v>
      </c>
    </row>
    <row r="259" spans="1:5" x14ac:dyDescent="0.25">
      <c r="A259" s="30" t="s">
        <v>10</v>
      </c>
      <c r="B259" s="30" t="s">
        <v>111</v>
      </c>
      <c r="C259" s="11" t="s">
        <v>43</v>
      </c>
      <c r="D259" s="11" t="s">
        <v>0</v>
      </c>
      <c r="E259" s="12">
        <v>17.166667</v>
      </c>
    </row>
    <row r="260" spans="1:5" x14ac:dyDescent="0.25">
      <c r="A260" s="30" t="s">
        <v>10</v>
      </c>
      <c r="B260" s="30" t="s">
        <v>111</v>
      </c>
      <c r="C260" s="30" t="s">
        <v>43</v>
      </c>
      <c r="D260" s="11" t="s">
        <v>67</v>
      </c>
      <c r="E260" s="12">
        <v>14.333334000000001</v>
      </c>
    </row>
    <row r="261" spans="1:5" x14ac:dyDescent="0.25">
      <c r="A261" s="30" t="s">
        <v>10</v>
      </c>
      <c r="B261" s="30" t="s">
        <v>111</v>
      </c>
      <c r="C261" s="30" t="s">
        <v>43</v>
      </c>
      <c r="D261" s="11" t="s">
        <v>66</v>
      </c>
      <c r="E261" s="12">
        <v>2.8333330000000001</v>
      </c>
    </row>
    <row r="262" spans="1:5" x14ac:dyDescent="0.25">
      <c r="A262" s="30" t="s">
        <v>10</v>
      </c>
      <c r="B262" s="11" t="s">
        <v>112</v>
      </c>
      <c r="C262" s="11" t="s">
        <v>0</v>
      </c>
      <c r="D262" s="14" t="s">
        <v>0</v>
      </c>
      <c r="E262" s="12">
        <v>12.5</v>
      </c>
    </row>
    <row r="263" spans="1:5" x14ac:dyDescent="0.25">
      <c r="A263" s="30" t="s">
        <v>10</v>
      </c>
      <c r="B263" s="30" t="s">
        <v>112</v>
      </c>
      <c r="C263" s="11" t="s">
        <v>44</v>
      </c>
      <c r="D263" s="11" t="s">
        <v>0</v>
      </c>
      <c r="E263" s="12">
        <v>12.5</v>
      </c>
    </row>
    <row r="264" spans="1:5" x14ac:dyDescent="0.25">
      <c r="A264" s="30" t="s">
        <v>10</v>
      </c>
      <c r="B264" s="30" t="s">
        <v>112</v>
      </c>
      <c r="C264" s="30" t="s">
        <v>44</v>
      </c>
      <c r="D264" s="11" t="s">
        <v>66</v>
      </c>
      <c r="E264" s="12">
        <v>10.083333</v>
      </c>
    </row>
    <row r="265" spans="1:5" x14ac:dyDescent="0.25">
      <c r="A265" s="30" t="s">
        <v>10</v>
      </c>
      <c r="B265" s="30" t="s">
        <v>112</v>
      </c>
      <c r="C265" s="30" t="s">
        <v>44</v>
      </c>
      <c r="D265" s="11" t="s">
        <v>73</v>
      </c>
      <c r="E265" s="12">
        <v>2.4166669999999999</v>
      </c>
    </row>
    <row r="266" spans="1:5" x14ac:dyDescent="0.25">
      <c r="A266" s="30" t="s">
        <v>10</v>
      </c>
      <c r="B266" s="11" t="s">
        <v>113</v>
      </c>
      <c r="C266" s="11" t="s">
        <v>0</v>
      </c>
      <c r="D266" s="14" t="s">
        <v>0</v>
      </c>
      <c r="E266" s="12">
        <v>0</v>
      </c>
    </row>
    <row r="267" spans="1:5" x14ac:dyDescent="0.25">
      <c r="A267" s="30" t="s">
        <v>10</v>
      </c>
      <c r="B267" s="30" t="s">
        <v>113</v>
      </c>
      <c r="C267" s="11" t="s">
        <v>45</v>
      </c>
      <c r="D267" s="11" t="s">
        <v>0</v>
      </c>
      <c r="E267" s="12">
        <v>0</v>
      </c>
    </row>
    <row r="268" spans="1:5" x14ac:dyDescent="0.25">
      <c r="A268" s="30" t="s">
        <v>10</v>
      </c>
      <c r="B268" s="30" t="s">
        <v>113</v>
      </c>
      <c r="C268" s="30" t="s">
        <v>45</v>
      </c>
      <c r="D268" s="11" t="s">
        <v>66</v>
      </c>
      <c r="E268" s="12">
        <v>0</v>
      </c>
    </row>
    <row r="269" spans="1:5" x14ac:dyDescent="0.25">
      <c r="A269" s="30" t="s">
        <v>10</v>
      </c>
      <c r="B269" s="30" t="s">
        <v>113</v>
      </c>
      <c r="C269" s="30" t="s">
        <v>45</v>
      </c>
      <c r="D269" s="11" t="s">
        <v>73</v>
      </c>
      <c r="E269" s="12">
        <v>0</v>
      </c>
    </row>
    <row r="270" spans="1:5" x14ac:dyDescent="0.25">
      <c r="A270" s="11" t="s">
        <v>9</v>
      </c>
      <c r="B270" s="11" t="s">
        <v>0</v>
      </c>
      <c r="C270" s="14" t="s">
        <v>0</v>
      </c>
      <c r="D270" s="14" t="s">
        <v>0</v>
      </c>
      <c r="E270" s="12">
        <v>345.33333399999998</v>
      </c>
    </row>
    <row r="271" spans="1:5" x14ac:dyDescent="0.25">
      <c r="A271" s="30" t="s">
        <v>9</v>
      </c>
      <c r="B271" s="11" t="s">
        <v>114</v>
      </c>
      <c r="C271" s="11" t="s">
        <v>0</v>
      </c>
      <c r="D271" s="14" t="s">
        <v>0</v>
      </c>
      <c r="E271" s="12">
        <v>336.000001</v>
      </c>
    </row>
    <row r="272" spans="1:5" x14ac:dyDescent="0.25">
      <c r="A272" s="30" t="s">
        <v>9</v>
      </c>
      <c r="B272" s="30" t="s">
        <v>114</v>
      </c>
      <c r="C272" s="11" t="s">
        <v>46</v>
      </c>
      <c r="D272" s="11" t="s">
        <v>0</v>
      </c>
      <c r="E272" s="12">
        <v>336.000001</v>
      </c>
    </row>
    <row r="273" spans="1:5" x14ac:dyDescent="0.25">
      <c r="A273" s="30" t="s">
        <v>9</v>
      </c>
      <c r="B273" s="30" t="s">
        <v>114</v>
      </c>
      <c r="C273" s="30" t="s">
        <v>46</v>
      </c>
      <c r="D273" s="11" t="s">
        <v>67</v>
      </c>
      <c r="E273" s="12">
        <v>249.58333300000001</v>
      </c>
    </row>
    <row r="274" spans="1:5" x14ac:dyDescent="0.25">
      <c r="A274" s="30" t="s">
        <v>9</v>
      </c>
      <c r="B274" s="30" t="s">
        <v>114</v>
      </c>
      <c r="C274" s="30" t="s">
        <v>46</v>
      </c>
      <c r="D274" s="11" t="s">
        <v>66</v>
      </c>
      <c r="E274" s="12">
        <v>74.833332999999996</v>
      </c>
    </row>
    <row r="275" spans="1:5" x14ac:dyDescent="0.25">
      <c r="A275" s="30" t="s">
        <v>9</v>
      </c>
      <c r="B275" s="30" t="s">
        <v>114</v>
      </c>
      <c r="C275" s="30" t="s">
        <v>46</v>
      </c>
      <c r="D275" s="11" t="s">
        <v>71</v>
      </c>
      <c r="E275" s="12">
        <v>4.6666670000000003</v>
      </c>
    </row>
    <row r="276" spans="1:5" x14ac:dyDescent="0.25">
      <c r="A276" s="30" t="s">
        <v>9</v>
      </c>
      <c r="B276" s="30" t="s">
        <v>114</v>
      </c>
      <c r="C276" s="30" t="s">
        <v>46</v>
      </c>
      <c r="D276" s="11" t="s">
        <v>69</v>
      </c>
      <c r="E276" s="12">
        <v>3.4166669999999999</v>
      </c>
    </row>
    <row r="277" spans="1:5" x14ac:dyDescent="0.25">
      <c r="A277" s="30" t="s">
        <v>9</v>
      </c>
      <c r="B277" s="30" t="s">
        <v>114</v>
      </c>
      <c r="C277" s="30" t="s">
        <v>46</v>
      </c>
      <c r="D277" s="11" t="s">
        <v>70</v>
      </c>
      <c r="E277" s="12">
        <v>2.6666669999999999</v>
      </c>
    </row>
    <row r="278" spans="1:5" x14ac:dyDescent="0.25">
      <c r="A278" s="30" t="s">
        <v>9</v>
      </c>
      <c r="B278" s="30" t="s">
        <v>114</v>
      </c>
      <c r="C278" s="30" t="s">
        <v>46</v>
      </c>
      <c r="D278" s="11" t="s">
        <v>72</v>
      </c>
      <c r="E278" s="12">
        <v>0.66666700000000001</v>
      </c>
    </row>
    <row r="279" spans="1:5" x14ac:dyDescent="0.25">
      <c r="A279" s="30" t="s">
        <v>9</v>
      </c>
      <c r="B279" s="30" t="s">
        <v>114</v>
      </c>
      <c r="C279" s="30" t="s">
        <v>46</v>
      </c>
      <c r="D279" s="11" t="s">
        <v>76</v>
      </c>
      <c r="E279" s="12">
        <v>0.16666700000000001</v>
      </c>
    </row>
    <row r="280" spans="1:5" x14ac:dyDescent="0.25">
      <c r="A280" s="30" t="s">
        <v>9</v>
      </c>
      <c r="B280" s="11" t="s">
        <v>115</v>
      </c>
      <c r="C280" s="11" t="s">
        <v>0</v>
      </c>
      <c r="D280" s="14" t="s">
        <v>0</v>
      </c>
      <c r="E280" s="12">
        <v>9.3333329999999997</v>
      </c>
    </row>
    <row r="281" spans="1:5" x14ac:dyDescent="0.25">
      <c r="A281" s="30" t="s">
        <v>9</v>
      </c>
      <c r="B281" s="30" t="s">
        <v>115</v>
      </c>
      <c r="C281" s="11" t="s">
        <v>48</v>
      </c>
      <c r="D281" s="11" t="s">
        <v>0</v>
      </c>
      <c r="E281" s="12">
        <v>9.0833329999999997</v>
      </c>
    </row>
    <row r="282" spans="1:5" x14ac:dyDescent="0.25">
      <c r="A282" s="30" t="s">
        <v>9</v>
      </c>
      <c r="B282" s="30" t="s">
        <v>115</v>
      </c>
      <c r="C282" s="30" t="s">
        <v>48</v>
      </c>
      <c r="D282" s="11" t="s">
        <v>66</v>
      </c>
      <c r="E282" s="12">
        <v>9.0833329999999997</v>
      </c>
    </row>
    <row r="283" spans="1:5" x14ac:dyDescent="0.25">
      <c r="A283" s="30" t="s">
        <v>9</v>
      </c>
      <c r="B283" s="30" t="s">
        <v>115</v>
      </c>
      <c r="C283" s="30" t="s">
        <v>48</v>
      </c>
      <c r="D283" s="11" t="s">
        <v>67</v>
      </c>
      <c r="E283" s="12">
        <v>0</v>
      </c>
    </row>
    <row r="284" spans="1:5" x14ac:dyDescent="0.25">
      <c r="A284" s="30" t="s">
        <v>9</v>
      </c>
      <c r="B284" s="30" t="s">
        <v>115</v>
      </c>
      <c r="C284" s="11" t="s">
        <v>47</v>
      </c>
      <c r="D284" s="11" t="s">
        <v>0</v>
      </c>
      <c r="E284" s="12">
        <v>0.25</v>
      </c>
    </row>
    <row r="285" spans="1:5" x14ac:dyDescent="0.25">
      <c r="A285" s="30" t="s">
        <v>9</v>
      </c>
      <c r="B285" s="30" t="s">
        <v>115</v>
      </c>
      <c r="C285" s="30" t="s">
        <v>47</v>
      </c>
      <c r="D285" s="11" t="s">
        <v>66</v>
      </c>
      <c r="E285" s="12">
        <v>0.25</v>
      </c>
    </row>
  </sheetData>
  <autoFilter ref="A19:D259" xr:uid="{8939E845-0742-4C83-B454-2FD9B52DBB51}"/>
  <mergeCells count="14">
    <mergeCell ref="A18:B18"/>
    <mergeCell ref="C3:H3"/>
    <mergeCell ref="I3:J3"/>
    <mergeCell ref="K3:L3"/>
    <mergeCell ref="A6:B6"/>
    <mergeCell ref="A7:B7"/>
    <mergeCell ref="A5:B5"/>
    <mergeCell ref="A3:B3"/>
    <mergeCell ref="A12:B12"/>
    <mergeCell ref="A4:B4"/>
    <mergeCell ref="A8:B8"/>
    <mergeCell ref="A9:B9"/>
    <mergeCell ref="A10:B10"/>
    <mergeCell ref="A11:B11"/>
  </mergeCells>
  <conditionalFormatting sqref="E25:E31">
    <cfRule type="iconSet" priority="2">
      <iconSet>
        <cfvo type="percent" val="0"/>
        <cfvo type="num" val="10"/>
        <cfvo type="num" val="35"/>
      </iconSet>
    </cfRule>
  </conditionalFormatting>
  <conditionalFormatting sqref="E32:E285">
    <cfRule type="iconSet" priority="1">
      <iconSet>
        <cfvo type="percent" val="0"/>
        <cfvo type="num" val="10"/>
        <cfvo type="num" val="35"/>
      </iconSet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49A99D5E78604598BEC347C9A30D03" ma:contentTypeVersion="6" ma:contentTypeDescription="Create a new document." ma:contentTypeScope="" ma:versionID="19201c1866d1168e7c1bc741e77954a5">
  <xsd:schema xmlns:xsd="http://www.w3.org/2001/XMLSchema" xmlns:xs="http://www.w3.org/2001/XMLSchema" xmlns:p="http://schemas.microsoft.com/office/2006/metadata/properties" xmlns:ns2="a4355520-101b-4542-a445-96baac0b68df" xmlns:ns3="247a2ce8-409f-4977-8c0a-1de402b244ce" targetNamespace="http://schemas.microsoft.com/office/2006/metadata/properties" ma:root="true" ma:fieldsID="f3c36ee63f48581d2a1eab2c464682f8" ns2:_="" ns3:_="">
    <xsd:import namespace="a4355520-101b-4542-a445-96baac0b68df"/>
    <xsd:import namespace="247a2ce8-409f-4977-8c0a-1de402b244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55520-101b-4542-a445-96baac0b6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a2ce8-409f-4977-8c0a-1de402b24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2C0922-94D9-420E-A43F-AB528B5A6C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55520-101b-4542-a445-96baac0b68df"/>
    <ds:schemaRef ds:uri="247a2ce8-409f-4977-8c0a-1de402b24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79E658-7F10-433A-A7AD-ADA0CA68FEB4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a4355520-101b-4542-a445-96baac0b68df"/>
    <ds:schemaRef ds:uri="http://purl.org/dc/elements/1.1/"/>
    <ds:schemaRef ds:uri="http://purl.org/dc/dcmitype/"/>
    <ds:schemaRef ds:uri="http://schemas.microsoft.com/office/infopath/2007/PartnerControls"/>
    <ds:schemaRef ds:uri="247a2ce8-409f-4977-8c0a-1de402b244ce"/>
  </ds:schemaRefs>
</ds:datastoreItem>
</file>

<file path=customXml/itemProps3.xml><?xml version="1.0" encoding="utf-8"?>
<ds:datastoreItem xmlns:ds="http://schemas.openxmlformats.org/officeDocument/2006/customXml" ds:itemID="{178E0E1F-C20E-4E9E-A0A0-E1CCCA695B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Depletions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Dragon</cp:lastModifiedBy>
  <dcterms:created xsi:type="dcterms:W3CDTF">2023-08-14T23:00:08Z</dcterms:created>
  <dcterms:modified xsi:type="dcterms:W3CDTF">2025-09-29T15:28:01Z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0x010100BB49A99D5E78604598BEC347C9A30D03</vt:lpwstr>
  </property>
</Properties>
</file>